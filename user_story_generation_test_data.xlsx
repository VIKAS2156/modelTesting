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c2c068557994d8a" /></Relationships>
</file>

<file path=xl/workbook.xml><?xml version="1.0" encoding="utf-8"?>
<x:workbook xmlns:x="http://schemas.openxmlformats.org/spreadsheetml/2006/main">
  <x:sheets>
    <x:sheet xmlns:r="http://schemas.openxmlformats.org/officeDocument/2006/relationships" name="README" sheetId="1" r:id="R74f680ae36914f74"/>
    <x:sheet xmlns:r="http://schemas.openxmlformats.org/officeDocument/2006/relationships" name="Scenarios" sheetId="2" r:id="R610210d676014386"/>
    <x:sheet xmlns:r="http://schemas.openxmlformats.org/officeDocument/2006/relationships" name="Test_Cases" sheetId="3" r:id="Rffa8fd86b68441eb"/>
    <x:sheet xmlns:r="http://schemas.openxmlformats.org/officeDocument/2006/relationships" name="Question_Slots" sheetId="4" r:id="R9fd8817730cb4473"/>
    <x:sheet xmlns:r="http://schemas.openxmlformats.org/officeDocument/2006/relationships" name="Report_Assertions" sheetId="5" r:id="R45928cc08cb941fa"/>
    <x:sheet xmlns:r="http://schemas.openxmlformats.org/officeDocument/2006/relationships" name="Gap_Cycles" sheetId="6" r:id="R68d24d4323544092"/>
    <x:sheet xmlns:r="http://schemas.openxmlformats.org/officeDocument/2006/relationships" name="Rubric" sheetId="7" r:id="R1f998b9f0e1c4cb0"/>
    <x:sheet xmlns:r="http://schemas.openxmlformats.org/officeDocument/2006/relationships" name="Negative_Tests" sheetId="8" r:id="R5a820a1481d14858"/>
    <x:sheet xmlns:r="http://schemas.openxmlformats.org/officeDocument/2006/relationships" name="Dashboard" sheetId="9" r:id="Red56ef84944647c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0" xfId="0" applyNumberFormat="1" applyFont="1" applyFill="1" applyBorder="1"/>
  </x:cellXfs>
  <x:cellStyles count="1">
    <x:cellStyle name="Normal" xfId="0"/>
  </x:cellStyles>
  <x:dxfs count="1">
    <x:dxf>
      <x:fill>
        <x:patternFill patternType="solid">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201f36b5e74b0d" /><Relationship Type="http://schemas.openxmlformats.org/officeDocument/2006/relationships/theme" Target="/xl/theme/theme1.xml" Id="R1fbe19ed7b1e421a" /><Relationship Type="http://schemas.openxmlformats.org/officeDocument/2006/relationships/sharedStrings" Target="/xl/sharedStrings.xml" Id="R25e09cc07a8f48dd" /><Relationship Type="http://schemas.openxmlformats.org/officeDocument/2006/relationships/worksheet" Target="/xl/worksheets/sheet1.xml" Id="R74f680ae36914f74" /><Relationship Type="http://schemas.openxmlformats.org/officeDocument/2006/relationships/worksheet" Target="/xl/worksheets/sheet2.xml" Id="R610210d676014386" /><Relationship Type="http://schemas.openxmlformats.org/officeDocument/2006/relationships/worksheet" Target="/xl/worksheets/sheet3.xml" Id="Rffa8fd86b68441eb" /><Relationship Type="http://schemas.openxmlformats.org/officeDocument/2006/relationships/worksheet" Target="/xl/worksheets/sheet4.xml" Id="R9fd8817730cb4473" /><Relationship Type="http://schemas.openxmlformats.org/officeDocument/2006/relationships/worksheet" Target="/xl/worksheets/sheet5.xml" Id="R45928cc08cb941fa" /><Relationship Type="http://schemas.openxmlformats.org/officeDocument/2006/relationships/worksheet" Target="/xl/worksheets/sheet6.xml" Id="R68d24d4323544092" /><Relationship Type="http://schemas.openxmlformats.org/officeDocument/2006/relationships/worksheet" Target="/xl/worksheets/sheet7.xml" Id="R1f998b9f0e1c4cb0" /><Relationship Type="http://schemas.openxmlformats.org/officeDocument/2006/relationships/worksheet" Target="/xl/worksheets/sheet8.xml" Id="R5a820a1481d14858" /><Relationship Type="http://schemas.openxmlformats.org/officeDocument/2006/relationships/worksheet" Target="/xl/worksheets/sheet9.xml" Id="Red56ef84944647c0"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f2aa3aa0fa4e7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Cases by Type</a:t>
            </a:r>
          </a:p>
        </c:rich>
      </c:tx>
      <c:overlay val="0"/>
    </c:title>
    <c:autoTitleDeleted val="0"/>
    <c:plotArea>
      <c:layout/>
      <c:barChart>
        <c:barDir val="col"/>
        <c:varyColors val="0"/>
        <c:ser>
          <c:idx val="0"/>
          <c:order val="0"/>
          <c:tx>
            <c:v>Count</c:v>
          </c:tx>
          <c:cat>
            <c:strRef>
              <c:f>'Dashboard'!$E$2:$E$5</c:f>
              <c:strCache>
                <c:ptCount val="0"/>
              </c:strCache>
            </c:strRef>
          </c:cat>
          <c:val>
            <c:numRef>
              <c:f>'Dashboard'!$F$2:$F$5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0</xdr:row>
      <xdr:rowOff>0</xdr:rowOff>
    </xdr:from>
    <xdr:to>
      <xdr:col>15</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f2aa3aa0fa4e73"/>
        </a:graphicData>
      </a:graphic>
    </xdr:graphicFrame>
    <xdr:clientData/>
  </xdr:twoCellAnchor>
</xdr:wsDr>
</file>

<file path=xl/tables/table1.xml><?xml version="1.0" encoding="utf-8"?>
<x:table xmlns:x="http://schemas.openxmlformats.org/spreadsheetml/2006/main" id="1" name="ScenariosTable" displayName="ScenariosTable" ref="A1:E9" headerRowCount="1">
  <x:tableColumns count="5">
    <x:tableColumn id="1" name="Scenario ID"/>
    <x:tableColumn id="2" name="Title"/>
    <x:tableColumn id="3" name="Domain"/>
    <x:tableColumn id="4" name="Problem Statement"/>
    <x:tableColumn id="5" name="Available Answer Keys"/>
  </x:tableColumns>
  <x:tableStyleInfo name="TableStyleMedium2" showRowStripes="1"/>
</x:table>
</file>

<file path=xl/tables/table2.xml><?xml version="1.0" encoding="utf-8"?>
<x:table xmlns:x="http://schemas.openxmlformats.org/spreadsheetml/2006/main" id="2" name="TestCasesTable" displayName="TestCasesTable" ref="A1:J32" headerRowCount="1">
  <x:tableColumns count="10">
    <x:tableColumn id="1" name="Test ID"/>
    <x:tableColumn id="2" name="Test Type"/>
    <x:tableColumn id="3" name="Scenario ID"/>
    <x:tableColumn id="4" name="Scenario Title"/>
    <x:tableColumn id="5" name="Input State"/>
    <x:tableColumn id="6" name="PO Answer Coverage"/>
    <x:tableColumn id="7" name="Expected Behavior"/>
    <x:tableColumn id="8" name="Key Assertions"/>
    <x:tableColumn id="9" name="Priority"/>
    <x:tableColumn id="10" name="Automation Hint"/>
  </x:tableColumns>
  <x:tableStyleInfo name="TableStyleMedium2" showRowStripes="1"/>
</x:table>
</file>

<file path=xl/tables/table3.xml><?xml version="1.0" encoding="utf-8"?>
<x:table xmlns:x="http://schemas.openxmlformats.org/spreadsheetml/2006/main" id="3" name="QuestionSlotsTable" displayName="QuestionSlotsTable" ref="A1:F52" headerRowCount="1">
  <x:tableColumns count="6">
    <x:tableColumn id="1" name="Scenario ID"/>
    <x:tableColumn id="2" name="Slot ID"/>
    <x:tableColumn id="3" name="Category"/>
    <x:tableColumn id="4" name="Sample PO Question"/>
    <x:tableColumn id="5" name="Full/Expected PO Answer"/>
    <x:tableColumn id="6" name="Grading Notes"/>
  </x:tableColumns>
  <x:tableStyleInfo name="TableStyleMedium2" showRowStripes="1"/>
</x:table>
</file>

<file path=xl/tables/table4.xml><?xml version="1.0" encoding="utf-8"?>
<x:table xmlns:x="http://schemas.openxmlformats.org/spreadsheetml/2006/main" id="4" name="ReportAssertionsTable" displayName="ReportAssertionsTable" ref="A1:E149" headerRowCount="1">
  <x:tableColumns count="5">
    <x:tableColumn id="1" name="Scenario ID"/>
    <x:tableColumn id="2" name="Report Section"/>
    <x:tableColumn id="3" name="Assertion"/>
    <x:tableColumn id="4" name="Priority"/>
    <x:tableColumn id="5" name="Check Method"/>
  </x:tableColumns>
  <x:tableStyleInfo name="TableStyleMedium2" showRowStripes="1"/>
</x:table>
</file>

<file path=xl/tables/table5.xml><?xml version="1.0" encoding="utf-8"?>
<x:table xmlns:x="http://schemas.openxmlformats.org/spreadsheetml/2006/main" id="5" name="GapCyclesTable" displayName="GapCyclesTable" ref="A1:H21" headerRowCount="1">
  <x:tableColumns count="8">
    <x:tableColumn id="1" name="Scenario ID"/>
    <x:tableColumn id="2" name="Gap ID"/>
    <x:tableColumn id="3" name="Gap Question"/>
    <x:tableColumn id="4" name="PO Answer: None"/>
    <x:tableColumn id="5" name="PO Answer: Few"/>
    <x:tableColumn id="6" name="PO Answer: All"/>
    <x:tableColumn id="7" name="Expected Update If Answered"/>
    <x:tableColumn id="8" name="Expected If Unanswered"/>
  </x:tableColumns>
  <x:tableStyleInfo name="TableStyleMedium2" showRowStripes="1"/>
</x:table>
</file>

<file path=xl/tables/table6.xml><?xml version="1.0" encoding="utf-8"?>
<x:table xmlns:x="http://schemas.openxmlformats.org/spreadsheetml/2006/main" id="6" name="RubricTable" displayName="RubricTable" ref="A1:E17" headerRowCount="1">
  <x:tableColumns count="5">
    <x:tableColumn id="1" name="Evaluation Area"/>
    <x:tableColumn id="2" name="Dimension"/>
    <x:tableColumn id="3" name="Weight %"/>
    <x:tableColumn id="4" name="Full-Credit Behavior"/>
    <x:tableColumn id="5" name="Warning Signs"/>
  </x:tableColumns>
  <x:tableStyleInfo name="TableStyleMedium2" showRowStripes="1"/>
</x:table>
</file>

<file path=xl/tables/table7.xml><?xml version="1.0" encoding="utf-8"?>
<x:table xmlns:x="http://schemas.openxmlformats.org/spreadsheetml/2006/main" id="7" name="NegativeTestsTable" displayName="NegativeTestsTable" ref="A1:D7" headerRowCount="1">
  <x:tableColumns count="4">
    <x:tableColumn id="1" name="Negative Test ID"/>
    <x:tableColumn id="2" name="Failure Mode"/>
    <x:tableColumn id="3" name="Input Pattern"/>
    <x:tableColumn id="4" name="Expected Behavio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f1cffeceaa4214" /></Relationships>
</file>

<file path=xl/worksheets/_rels/sheet3.xml.rels>&#65279;<?xml version="1.0" encoding="utf-8"?><Relationships xmlns="http://schemas.openxmlformats.org/package/2006/relationships"><Relationship Type="http://schemas.openxmlformats.org/officeDocument/2006/relationships/table" Target="/xl/tables/table2.xml" Id="R10eaf06c4c4d41b1" /></Relationships>
</file>

<file path=xl/worksheets/_rels/sheet4.xml.rels>&#65279;<?xml version="1.0" encoding="utf-8"?><Relationships xmlns="http://schemas.openxmlformats.org/package/2006/relationships"><Relationship Type="http://schemas.openxmlformats.org/officeDocument/2006/relationships/table" Target="/xl/tables/table3.xml" Id="R20c3fdef21344f4a" /></Relationships>
</file>

<file path=xl/worksheets/_rels/sheet5.xml.rels>&#65279;<?xml version="1.0" encoding="utf-8"?><Relationships xmlns="http://schemas.openxmlformats.org/package/2006/relationships"><Relationship Type="http://schemas.openxmlformats.org/officeDocument/2006/relationships/table" Target="/xl/tables/table4.xml" Id="Re95efffb8b6e4055" /></Relationships>
</file>

<file path=xl/worksheets/_rels/sheet6.xml.rels>&#65279;<?xml version="1.0" encoding="utf-8"?><Relationships xmlns="http://schemas.openxmlformats.org/package/2006/relationships"><Relationship Type="http://schemas.openxmlformats.org/officeDocument/2006/relationships/table" Target="/xl/tables/table5.xml" Id="Ra937c6f3123d4f27" /></Relationships>
</file>

<file path=xl/worksheets/_rels/sheet7.xml.rels>&#65279;<?xml version="1.0" encoding="utf-8"?><Relationships xmlns="http://schemas.openxmlformats.org/package/2006/relationships"><Relationship Type="http://schemas.openxmlformats.org/officeDocument/2006/relationships/table" Target="/xl/tables/table6.xml" Id="Rb630e701ccf94afe" /></Relationships>
</file>

<file path=xl/worksheets/_rels/sheet8.xml.rels>&#65279;<?xml version="1.0" encoding="utf-8"?><Relationships xmlns="http://schemas.openxmlformats.org/package/2006/relationships"><Relationship Type="http://schemas.openxmlformats.org/officeDocument/2006/relationships/table" Target="/xl/tables/table7.xml" Id="R0e59622440554031" /></Relationships>
</file>

<file path=xl/worksheets/_rels/sheet9.xml.rels>&#65279;<?xml version="1.0" encoding="utf-8"?><Relationships xmlns="http://schemas.openxmlformats.org/package/2006/relationships"><Relationship Type="http://schemas.openxmlformats.org/officeDocument/2006/relationships/drawing" Target="/xl/drawings/drawing1.xml" Id="Rfc6943d2fb044b6f" /></Relationships>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ht="28" customHeight="1">
      <x:c r="A1" s="6" t="str">
        <x:v>Item</x:v>
      </x:c>
      <x:c r="B1" s="6" t="str">
        <x:v>Details</x:v>
      </x:c>
    </x:row>
    <x:row r="2">
      <x:c r="A2" s="16" t="str">
        <x:v>Purpose</x:v>
      </x:c>
      <x:c r="B2" s="16" t="str">
        <x:v>Test user-story generation models across PO questioning, report generation, and post-report gap/regeneration.</x:v>
      </x:c>
    </x:row>
    <x:row r="3">
      <x:c r="A3" s="16" t="str">
        <x:v>Baseline style</x:v>
      </x:c>
      <x:c r="B3" s="16" t="str">
        <x:v>Mirrors the attached detailed report structure: Summary, User Story, Background, Acceptance Criteria, Technical Implementation, Configuration Steps, Data Fields, Story Points, Jira Fields, Dependencies, Assumptions, Open Items, Out of Scope, Definition of Done, Risks, Test Scenarios, Readiness.</x:v>
      </x:c>
    </x:row>
    <x:row r="4">
      <x:c r="A4" s="16" t="str">
        <x:v>How to test questions</x:v>
      </x:c>
      <x:c r="B4" s="16" t="str">
        <x:v>Feed the problem statement and conversation state. Score model questions against Question_Slots and Rubric.</x:v>
      </x:c>
    </x:row>
    <x:row r="5">
      <x:c r="A5" s="16" t="str">
        <x:v>How to test reports</x:v>
      </x:c>
      <x:c r="B5" s="16" t="str">
        <x:v>Feed problem + PO answers. Score the output against Report_Assertions and Rubric. Require traceability; unanswered gaps should remain open.</x:v>
      </x:c>
    </x:row>
    <x:row r="6">
      <x:c r="A6" s="16" t="str">
        <x:v>How to test regeneration</x:v>
      </x:c>
      <x:c r="B6" s="16" t="str">
        <x:v>Feed draft report + gap answers. For none/few/all answer modes, confirm selective updates and readiness changes are correct.</x:v>
      </x:c>
    </x:row>
    <x:row r="7">
      <x:c r="A7" s="16" t="str">
        <x:v>Critical trap</x:v>
      </x:c>
      <x:c r="B7" s="16" t="str">
        <x:v>In the French complaint transcript, the missing/invalid account-number question is asked but not answered. A model should not treat that behavior as confirmed.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34" hidden="0" customWidth="1"/>
    <x:col min="4" max="4" width="70" hidden="0" customWidth="1"/>
    <x:col min="5" max="5" width="60" hidden="0" customWidth="1"/>
  </x:cols>
  <x:sheetData>
    <x:row r="1" ht="28" customHeight="1">
      <x:c r="A1" s="6" t="str">
        <x:v>Scenario ID</x:v>
      </x:c>
      <x:c r="B1" s="6" t="str">
        <x:v>Title</x:v>
      </x:c>
      <x:c r="C1" s="6" t="str">
        <x:v>Domain</x:v>
      </x:c>
      <x:c r="D1" s="6" t="str">
        <x:v>Problem Statement</x:v>
      </x:c>
      <x:c r="E1" s="6" t="str">
        <x:v>Available Answer Keys</x:v>
      </x:c>
    </x:row>
    <x:row r="2">
      <x:c r="A2" s="16" t="str">
        <x:v>FR_EMAIL_COMPLAINT</x:v>
      </x:c>
      <x:c r="B2" s="16" t="str">
        <x:v>French complaint email capture and Salesforce routing</x:v>
      </x:c>
      <x:c r="C2" s="16" t="str">
        <x:v>Salesforce Service Cloud / Email-to-Case</x:v>
      </x:c>
      <x:c r="D2" s="16" t="str">
        <x:v>We need to handle customer complaints coming via a new regional email address for our French team. Right now they get lost in a shared inbox and nobody owns them.</x:v>
      </x:c>
      <x:c r="E2" s="16" t="str">
        <x:v>expected_volume; missing_account; complaint_categories; sla; account_matching; false_positives; inbox_retention; language; unknown_sender_contact; compliance</x:v>
      </x:c>
    </x:row>
    <x:row r="3">
      <x:c r="A3" s="16" t="str">
        <x:v>RETURNS_PORTAL</x:v>
      </x:c>
      <x:c r="B3" s="16" t="str">
        <x:v>Return and refund request capture into Jira Service Management</x:v>
      </x:c>
      <x:c r="C3" s="16" t="str">
        <x:v>E-commerce Operations / Jira Service Management</x:v>
      </x:c>
      <x:c r="D3" s="16" t="str">
        <x:v>Customers submit return and refund requests through a new web form, but the support team copies emails into Jira manually and refunds are missed. We need requests captured automatically and routed to Returns Operations.</x:v>
      </x:c>
      <x:c r="E3" s="16" t="str">
        <x:v>owner; trigger; required_data; eligibility; assignment; notification; exceptions; sla; attachments; dedupe; privacy</x:v>
      </x:c>
    </x:row>
    <x:row r="4">
      <x:c r="A4" s="16" t="str">
        <x:v>VENDOR_KYC</x:v>
      </x:c>
      <x:c r="B4" s="16" t="str">
        <x:v>Vendor onboarding document collection and approval workflow</x:v>
      </x:c>
      <x:c r="C4" s="16" t="str">
        <x:v>Procurement / Vendor Management</x:v>
      </x:c>
      <x:c r="D4" s="16" t="str">
        <x:v>Vendor onboarding stalls because tax forms, bank letters, insurance certificates, and compliance approvals are exchanged over email. Sales wants a portal-driven workflow to collect documents, validate them, and approve vendors before first purchase order.</x:v>
      </x:c>
      <x:c r="E4" s="16" t="str">
        <x:v>owner; documents; workflow; approvals; reminders; rejections; security; erp; audit</x:v>
      </x:c>
    </x:row>
    <x:row r="5">
      <x:c r="A5" s="16" t="str">
        <x:v>IOT_OUTAGE</x:v>
      </x:c>
      <x:c r="B5" s="16" t="str">
        <x:v>IoT gateway outage alert incident routing</x:v>
      </x:c>
      <x:c r="C5" s="16" t="str">
        <x:v>IoT Operations / ServiceNow Incident Management</x:v>
      </x:c>
      <x:c r="D5" s="16" t="str">
        <x:v>Our IoT gateways go offline, monitoring sends emails to a group mailbox, and field operations often misses outages. We need high-confidence outage alerts converted to incidents and routed to the right regional field team.</x:v>
      </x:c>
      <x:c r="E5" s="16" t="str">
        <x:v>trigger; maintenance; dedupe; data; routing; notification; sla; recovery; customer_comms</x:v>
      </x:c>
    </x:row>
    <x:row r="6">
      <x:c r="A6" s="16" t="str">
        <x:v>BILLING_DUNNING</x:v>
      </x:c>
      <x:c r="B6" s="16" t="str">
        <x:v>Failed subscription payment CRM tasks and customer notifications</x:v>
      </x:c>
      <x:c r="C6" s="16" t="str">
        <x:v>Billing / CRM Automation</x:v>
      </x:c>
      <x:c r="D6" s="16" t="str">
        <x:v>Subscription payment failures are not visible to account managers until customers are suspended. We need failed payments to trigger CRM tasks and customer notifications before churn.</x:v>
      </x:c>
      <x:c r="E6" s="16" t="str">
        <x:v>trigger; retries; owner; data; customer_notifications; exceptions; sla; compliance</x:v>
      </x:c>
    </x:row>
    <x:row r="7">
      <x:c r="A7" s="16" t="str">
        <x:v>GDPR_DSR</x:v>
      </x:c>
      <x:c r="B7" s="16" t="str">
        <x:v>Data subject request tracking workflow</x:v>
      </x:c>
      <x:c r="C7" s="16" t="str">
        <x:v>Privacy / Compliance Operations</x:v>
      </x:c>
      <x:c r="D7" s="16" t="str">
        <x:v>Data deletion and access requests arrive through the privacy inbox and a webform. The privacy team needs a trackable workflow with deadlines, approvals, and audit evidence.</x:v>
      </x:c>
      <x:c r="E7" s="16" t="str">
        <x:v>request_types; trigger; verification; sla; routing; notifications; data; compliance</x:v>
      </x:c>
    </x:row>
    <x:row r="8">
      <x:c r="A8" s="16" t="str">
        <x:v>FINANCE_ACCESS</x:v>
      </x:c>
      <x:c r="B8" s="16" t="str">
        <x:v>Finance application access request approvals</x:v>
      </x:c>
      <x:c r="C8" s="16" t="str">
        <x:v>IT Service Management / Access Governance</x:v>
      </x:c>
      <x:c r="D8" s="16" t="str">
        <x:v>Employees request access to the finance application by email. Managers approve in email threads, IT provisions manually, and audit evidence is incomplete.</x:v>
      </x:c>
      <x:c r="E8" s="16" t="str">
        <x:v>trigger; roles; required_data; approvals; routing; sla; notifications; audit; exceptions</x:v>
      </x:c>
    </x:row>
    <x:row r="9">
      <x:c r="A9" s="16" t="str">
        <x:v>LANGUAGE_ROUTING</x:v>
      </x:c>
      <x:c r="B9" s="16" t="str">
        <x:v>Inbound support email routing by language and region</x:v>
      </x:c>
      <x:c r="C9" s="16" t="str">
        <x:v>Customer Support / Email-to-Case Routing</x:v>
      </x:c>
      <x:c r="D9" s="16" t="str">
        <x:v>Inbound support emails in Spanish and Italian are being handled by the wrong regional teams. We need ticket routing by language and region with fallback handling.</x:v>
      </x:c>
      <x:c r="E9" s="16" t="str">
        <x:v>trigger; detection; queues; threshold; data; notifications; false_positives; sla; translation</x:v>
      </x:c>
    </x:row>
  </x:sheetData>
  <x:pageMargins left="0.7" right="0.7" top="0.75" bottom="0.75" header="0.3" footer="0.3"/>
  <x:tableParts count="1">
    <x:tablePart xmlns:r="http://schemas.openxmlformats.org/officeDocument/2006/relationships" r:id="R7df1cffeceaa4214"/>
  </x:tableParts>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24" hidden="0" customWidth="1"/>
    <x:col min="4" max="4" width="38" hidden="0" customWidth="1"/>
    <x:col min="5" max="5" width="56" hidden="0" customWidth="1"/>
    <x:col min="6" max="6" width="18" hidden="0" customWidth="1"/>
    <x:col min="7" max="7" width="70" hidden="0" customWidth="1"/>
    <x:col min="8" max="8" width="70" hidden="0" customWidth="1"/>
    <x:col min="9" max="9" width="10" hidden="0" customWidth="1"/>
    <x:col min="10" max="10" width="38" hidden="0" customWidth="1"/>
  </x:cols>
  <x:sheetData>
    <x:row r="1" ht="28" customHeight="1">
      <x:c r="A1" s="6" t="str">
        <x:v>Test ID</x:v>
      </x:c>
      <x:c r="B1" s="6" t="str">
        <x:v>Test Type</x:v>
      </x:c>
      <x:c r="C1" s="6" t="str">
        <x:v>Scenario ID</x:v>
      </x:c>
      <x:c r="D1" s="6" t="str">
        <x:v>Scenario Title</x:v>
      </x:c>
      <x:c r="E1" s="6" t="str">
        <x:v>Input State</x:v>
      </x:c>
      <x:c r="F1" s="6" t="str">
        <x:v>PO Answer Coverage</x:v>
      </x:c>
      <x:c r="G1" s="6" t="str">
        <x:v>Expected Behavior</x:v>
      </x:c>
      <x:c r="H1" s="6" t="str">
        <x:v>Key Assertions</x:v>
      </x:c>
      <x:c r="I1" s="6" t="str">
        <x:v>Priority</x:v>
      </x:c>
      <x:c r="J1" s="6" t="str">
        <x:v>Automation Hint</x:v>
      </x:c>
    </x:row>
    <x:row r="2">
      <x:c r="A2" s="16" t="str">
        <x:v>QG-FR-001</x:v>
      </x:c>
      <x:c r="B2" s="16" t="str">
        <x:v>question_generation</x:v>
      </x:c>
      <x:c r="C2" s="16" t="str">
        <x:v>FR_EMAIL_COMPLAINT</x:v>
      </x:c>
      <x:c r="D2" s="16" t="str">
        <x:v>French complaint email capture and Salesforce routing</x:v>
      </x:c>
      <x:c r="E2" s="16" t="str">
        <x:v>Problem statement only. No PO answers yet.</x:v>
      </x:c>
      <x:c r="F2" s="16" t="str">
        <x:v>none</x:v>
      </x:c>
      <x:c r="G2" s="16" t="str">
        <x:v>Model should ask targeted, one-at-a-time PO questions that discover ownership, classification, routing, required Case data, notification urgency, exceptions, SLA, volume, and compliance.</x:v>
      </x:c>
      <x:c r="H2" s="16" t="str">
        <x:v>Must ask the core slots; questions should be PO-friendly and avoid technical configuration detail too early.</x:v>
      </x:c>
      <x:c r="I2" s="16" t="str">
        <x:v>P0</x:v>
      </x:c>
      <x:c r="J2" s="16" t="str">
        <x:v>LLM rubric + keyword/assertion checks</x:v>
      </x:c>
    </x:row>
    <x:row r="3">
      <x:c r="A3" s="16" t="str">
        <x:v>QG-FR-002</x:v>
      </x:c>
      <x:c r="B3" s="16" t="str">
        <x:v>question_generation</x:v>
      </x:c>
      <x:c r="C3" s="16" t="str">
        <x:v>FR_EMAIL_COMPLAINT</x:v>
      </x:c>
      <x:c r="D3" s="16" t="str">
        <x:v>French complaint email capture and Salesforce routing</x:v>
      </x:c>
      <x:c r="E3" s="16" t="str">
        <x:v>Conversation already contains ownership, priority info, queue assignment, email alert, and keyword answers. Last unanswered question asks about missing/invalid account number.</x:v>
      </x:c>
      <x:c r="F3" s="16" t="str">
        <x:v>partial</x:v>
      </x:c>
      <x:c r="G3" s="16" t="str">
        <x:v>Model should continue with unanswered gaps rather than repeating answered questions. Next high-value questions: missing/invalid account handling, volume, SLA, account matching, false positives, retention, compliance.</x:v>
      </x:c>
      <x:c r="H3" s="16" t="str">
        <x:v>Fail if it asks again who owns the complaints, whether a queue is needed, or which keywords identify complaints.</x:v>
      </x:c>
      <x:c r="I3" s="16" t="str">
        <x:v>P0</x:v>
      </x:c>
      <x:c r="J3" s="16" t="str">
        <x:v>LLM rubric + keyword/assertion checks</x:v>
      </x:c>
    </x:row>
    <x:row r="4">
      <x:c r="A4" s="16" t="str">
        <x:v>QG-RET-001</x:v>
      </x:c>
      <x:c r="B4" s="16" t="str">
        <x:v>question_generation</x:v>
      </x:c>
      <x:c r="C4" s="16" t="str">
        <x:v>RETURNS_PORTAL</x:v>
      </x:c>
      <x:c r="D4" s="16" t="str">
        <x:v>Return and refund request capture into Jira Service Management</x:v>
      </x:c>
      <x:c r="E4" s="16" t="str">
        <x:v>Problem statement only.</x:v>
      </x:c>
      <x:c r="F4" s="16" t="str">
        <x:v>none</x:v>
      </x:c>
      <x:c r="G4" s="16" t="str">
        <x:v>Ask about source of truth, owner queue, required form fields, eligibility, missing order handling, attachments, dedupe, customer acknowledgement, SLA, and privacy.</x:v>
      </x:c>
      <x:c r="H4" s="16" t="str">
        <x:v>Should not jump straight to Jira implementation without business rules.</x:v>
      </x:c>
      <x:c r="I4" s="16" t="str">
        <x:v>P0</x:v>
      </x:c>
      <x:c r="J4" s="16" t="str">
        <x:v>LLM rubric + keyword/assertion checks</x:v>
      </x:c>
    </x:row>
    <x:row r="5">
      <x:c r="A5" s="16" t="str">
        <x:v>QG-KYC-001</x:v>
      </x:c>
      <x:c r="B5" s="16" t="str">
        <x:v>question_generation</x:v>
      </x:c>
      <x:c r="C5" s="16" t="str">
        <x:v>VENDOR_KYC</x:v>
      </x:c>
      <x:c r="D5" s="16" t="str">
        <x:v>Vendor onboarding document collection and approval workflow</x:v>
      </x:c>
      <x:c r="E5" s="16" t="str">
        <x:v>Problem statement only.</x:v>
      </x:c>
      <x:c r="F5" s="16" t="str">
        <x:v>none</x:v>
      </x:c>
      <x:c r="G5" s="16" t="str">
        <x:v>Ask about stakeholder roles, required documents by vendor type, approval sequence, rejection/resubmission, reminders, security, ERP handoff, and audit retention.</x:v>
      </x:c>
      <x:c r="H5" s="16" t="str">
        <x:v>Must distinguish document collection from approval workflow.</x:v>
      </x:c>
      <x:c r="I5" s="16" t="str">
        <x:v>P1</x:v>
      </x:c>
      <x:c r="J5" s="16" t="str">
        <x:v>LLM rubric + keyword/assertion checks</x:v>
      </x:c>
    </x:row>
    <x:row r="6">
      <x:c r="A6" s="16" t="str">
        <x:v>QG-IOT-001</x:v>
      </x:c>
      <x:c r="B6" s="16" t="str">
        <x:v>question_generation</x:v>
      </x:c>
      <x:c r="C6" s="16" t="str">
        <x:v>IOT_OUTAGE</x:v>
      </x:c>
      <x:c r="D6" s="16" t="str">
        <x:v>IoT gateway outage alert incident routing</x:v>
      </x:c>
      <x:c r="E6" s="16" t="str">
        <x:v>Problem statement only.</x:v>
      </x:c>
      <x:c r="F6" s="16" t="str">
        <x:v>none</x:v>
      </x:c>
      <x:c r="G6" s="16" t="str">
        <x:v>Ask about alert threshold, maintenance suppression, dedupe, required incident data, regional routing, severity/SLA, notifications, recovery handling, and customer communication.</x:v>
      </x:c>
      <x:c r="H6" s="16" t="str">
        <x:v>Must address alert noise and duplicate incidents.</x:v>
      </x:c>
      <x:c r="I6" s="16" t="str">
        <x:v>P0</x:v>
      </x:c>
      <x:c r="J6" s="16" t="str">
        <x:v>LLM rubric + keyword/assertion checks</x:v>
      </x:c>
    </x:row>
    <x:row r="7">
      <x:c r="A7" s="16" t="str">
        <x:v>QG-BILL-001</x:v>
      </x:c>
      <x:c r="B7" s="16" t="str">
        <x:v>question_generation</x:v>
      </x:c>
      <x:c r="C7" s="16" t="str">
        <x:v>BILLING_DUNNING</x:v>
      </x:c>
      <x:c r="D7" s="16" t="str">
        <x:v>Failed subscription payment CRM tasks and customer notifications</x:v>
      </x:c>
      <x:c r="E7" s="16" t="str">
        <x:v>Problem statement only.</x:v>
      </x:c>
      <x:c r="F7" s="16" t="str">
        <x:v>none</x:v>
      </x:c>
      <x:c r="G7" s="16" t="str">
        <x:v>Ask about trigger timing, retry schedule, customer segmentation, owner routing, internal and customer notifications, exceptions, sensitive payment data, and compliance review.</x:v>
      </x:c>
      <x:c r="H7" s="16" t="str">
        <x:v>Should not expose full payment-card data in generated requirements.</x:v>
      </x:c>
      <x:c r="I7" s="16" t="str">
        <x:v>P0</x:v>
      </x:c>
      <x:c r="J7" s="16" t="str">
        <x:v>LLM rubric + keyword/assertion checks</x:v>
      </x:c>
    </x:row>
    <x:row r="8">
      <x:c r="A8" s="16" t="str">
        <x:v>QG-GDPR-001</x:v>
      </x:c>
      <x:c r="B8" s="16" t="str">
        <x:v>question_generation</x:v>
      </x:c>
      <x:c r="C8" s="16" t="str">
        <x:v>GDPR_DSR</x:v>
      </x:c>
      <x:c r="D8" s="16" t="str">
        <x:v>Data subject request tracking workflow</x:v>
      </x:c>
      <x:c r="E8" s="16" t="str">
        <x:v>Problem statement only.</x:v>
      </x:c>
      <x:c r="F8" s="16" t="str">
        <x:v>none</x:v>
      </x:c>
      <x:c r="G8" s="16" t="str">
        <x:v>Ask about request types, intake channels, identity verification, due-date calculation, legal hold approval, customer acknowledgements, permissions, audit evidence, and retention.</x:v>
      </x:c>
      <x:c r="H8" s="16" t="str">
        <x:v>Must treat this as compliance-sensitive workflow.</x:v>
      </x:c>
      <x:c r="I8" s="16" t="str">
        <x:v>P0</x:v>
      </x:c>
      <x:c r="J8" s="16" t="str">
        <x:v>LLM rubric + keyword/assertion checks</x:v>
      </x:c>
    </x:row>
    <x:row r="9">
      <x:c r="A9" s="16" t="str">
        <x:v>QG-ACCESS-001</x:v>
      </x:c>
      <x:c r="B9" s="16" t="str">
        <x:v>question_generation</x:v>
      </x:c>
      <x:c r="C9" s="16" t="str">
        <x:v>FINANCE_ACCESS</x:v>
      </x:c>
      <x:c r="D9" s="16" t="str">
        <x:v>Finance application access request approvals</x:v>
      </x:c>
      <x:c r="E9" s="16" t="str">
        <x:v>Problem statement only.</x:v>
      </x:c>
      <x:c r="F9" s="16" t="str">
        <x:v>none</x:v>
      </x:c>
      <x:c r="G9" s="16" t="str">
        <x:v>Ask about intake channel, roles, required fields, approval order, SoD checks, provisioning handoff, SLA, exceptions, and audit retention.</x:v>
      </x:c>
      <x:c r="H9" s="16" t="str">
        <x:v>Must capture auditability and permission governance.</x:v>
      </x:c>
      <x:c r="I9" s="16" t="str">
        <x:v>P1</x:v>
      </x:c>
      <x:c r="J9" s="16" t="str">
        <x:v>LLM rubric + keyword/assertion checks</x:v>
      </x:c>
    </x:row>
    <x:row r="10">
      <x:c r="A10" s="16" t="str">
        <x:v>QG-LANG-001</x:v>
      </x:c>
      <x:c r="B10" s="16" t="str">
        <x:v>question_generation</x:v>
      </x:c>
      <x:c r="C10" s="16" t="str">
        <x:v>LANGUAGE_ROUTING</x:v>
      </x:c>
      <x:c r="D10" s="16" t="str">
        <x:v>Inbound support email routing by language and region</x:v>
      </x:c>
      <x:c r="E10" s="16" t="str">
        <x:v>Problem statement only.</x:v>
      </x:c>
      <x:c r="F10" s="16" t="str">
        <x:v>none</x:v>
      </x:c>
      <x:c r="G10" s="16" t="str">
        <x:v>Ask about detection method, confidence threshold, language/region queues, fallback, internal/auto-reply filtering, notification, SLA, and translation scope.</x:v>
      </x:c>
      <x:c r="H10" s="16" t="str">
        <x:v>Must not assume automatic translation is required.</x:v>
      </x:c>
      <x:c r="I10" s="16" t="str">
        <x:v>P1</x:v>
      </x:c>
      <x:c r="J10" s="16" t="str">
        <x:v>LLM rubric + keyword/assertion checks</x:v>
      </x:c>
    </x:row>
    <x:row r="11">
      <x:c r="A11" s="16" t="str">
        <x:v>RPT-FR-001</x:v>
      </x:c>
      <x:c r="B11" s="16" t="str">
        <x:v>report_generation</x:v>
      </x:c>
      <x:c r="C11" s="16" t="str">
        <x:v>FR_EMAIL_COMPLAINT</x:v>
      </x:c>
      <x:c r="D11" s="16" t="str">
        <x:v>French complaint email capture and Salesforce routing</x:v>
      </x:c>
      <x:c r="E11" s="16" t="str">
        <x:v>Use problem statement + initial conversation with the final missing-account question unanswered.</x:v>
      </x:c>
      <x:c r="F11" s="16" t="str">
        <x:v>partial</x:v>
      </x:c>
      <x:c r="G11" s="16" t="str">
        <x:v>Generate report in the attached style, but mark missing/invalid account handling and other unanswered items as Open Items or clearly labeled assumptions. Readiness should be Not ready or conditional.</x:v>
      </x:c>
      <x:c r="H11" s="16" t="str">
        <x:v>Must include Summary, User Story, Background, ACs, Technical Implementation, Config Steps, Data Fields, Story Points, Jira Fields, Dependencies, Assumptions, Open Items, Out of Scope, DoD, Risks, Test Scenarios, Readiness. Must not invent exact email address or final exception behavior.</x:v>
      </x:c>
      <x:c r="I11" s="16" t="str">
        <x:v>P0</x:v>
      </x:c>
      <x:c r="J11" s="16" t="str">
        <x:v>LLM rubric + keyword/assertion checks</x:v>
      </x:c>
    </x:row>
    <x:row r="12">
      <x:c r="A12" s="16" t="str">
        <x:v>RPT-FR-002</x:v>
      </x:c>
      <x:c r="B12" s="16" t="str">
        <x:v>report_generation</x:v>
      </x:c>
      <x:c r="C12" s="16" t="str">
        <x:v>FR_EMAIL_COMPLAINT</x:v>
      </x:c>
      <x:c r="D12" s="16" t="str">
        <x:v>French complaint email capture and Salesforce routing</x:v>
      </x:c>
      <x:c r="E12" s="16" t="str">
        <x:v>Use problem statement + initial conversation + all FR gap answers.</x:v>
      </x:c>
      <x:c r="F12" s="16" t="str">
        <x:v>complete</x:v>
      </x:c>
      <x:c r="G12" s="16" t="str">
        <x:v>Generate a ready-for-grooming story with resolved exception handling, SLA, categories, retention, compliance, and matching logic. Open Items should be empty or limited to implementation dependencies, not business decisions.</x:v>
      </x:c>
      <x:c r="H12" s="16" t="str">
        <x:v>ACs must include missing-account manual review, account matching priority, false-positive filter, SLA due date, masking, and no auto-contact creation.</x:v>
      </x:c>
      <x:c r="I12" s="16" t="str">
        <x:v>P0</x:v>
      </x:c>
      <x:c r="J12" s="16" t="str">
        <x:v>LLM rubric + keyword/assertion checks</x:v>
      </x:c>
    </x:row>
    <x:row r="13">
      <x:c r="A13" s="16" t="str">
        <x:v>RPT-RET-001</x:v>
      </x:c>
      <x:c r="B13" s="16" t="str">
        <x:v>report_generation</x:v>
      </x:c>
      <x:c r="C13" s="16" t="str">
        <x:v>RETURNS_PORTAL</x:v>
      </x:c>
      <x:c r="D13" s="16" t="str">
        <x:v>Return and refund request capture into Jira Service Management</x:v>
      </x:c>
      <x:c r="E13" s="16" t="str">
        <x:v>Use problem statement + full PO answers.</x:v>
      </x:c>
      <x:c r="F13" s="16" t="str">
        <x:v>complete</x:v>
      </x:c>
      <x:c r="G13" s="16" t="str">
        <x:v>Generate report for Jira Service Management automation. Ready for grooming if only technical dependencies remain.</x:v>
      </x:c>
      <x:c r="H13" s="16" t="str">
        <x:v>Must cover web-form source of truth, RETURNS_OPS queue, required fields, eligibility, missing order, attachment controls, dedupe, acknowledgement, SLA, and payment privacy.</x:v>
      </x:c>
      <x:c r="I13" s="16" t="str">
        <x:v>P0</x:v>
      </x:c>
      <x:c r="J13" s="16" t="str">
        <x:v>LLM rubric + keyword/assertion checks</x:v>
      </x:c>
    </x:row>
    <x:row r="14">
      <x:c r="A14" s="16" t="str">
        <x:v>RPT-RET-002</x:v>
      </x:c>
      <x:c r="B14" s="16" t="str">
        <x:v>report_generation</x:v>
      </x:c>
      <x:c r="C14" s="16" t="str">
        <x:v>RETURNS_PORTAL</x:v>
      </x:c>
      <x:c r="D14" s="16" t="str">
        <x:v>Return and refund request capture into Jira Service Management</x:v>
      </x:c>
      <x:c r="E14" s="16" t="str">
        <x:v>Use problem statement + only owner, trigger, missing order, return window, and refund SLA answers.</x:v>
      </x:c>
      <x:c r="F14" s="16" t="str">
        <x:v>partial</x:v>
      </x:c>
      <x:c r="G14" s="16" t="str">
        <x:v>Generate report with known facts and Open Items for attachments, dedupe, customer acknowledgement wording, fraud flags, international returns, and privacy.</x:v>
      </x:c>
      <x:c r="H14" s="16" t="str">
        <x:v>Readiness should not be Ready. ACs should not assume attachment limits or dedupe keys if unanswered.</x:v>
      </x:c>
      <x:c r="I14" s="16" t="str">
        <x:v>P1</x:v>
      </x:c>
      <x:c r="J14" s="16" t="str">
        <x:v>LLM rubric + keyword/assertion checks</x:v>
      </x:c>
    </x:row>
    <x:row r="15">
      <x:c r="A15" s="16" t="str">
        <x:v>RPT-KYC-001</x:v>
      </x:c>
      <x:c r="B15" s="16" t="str">
        <x:v>report_generation</x:v>
      </x:c>
      <x:c r="C15" s="16" t="str">
        <x:v>VENDOR_KYC</x:v>
      </x:c>
      <x:c r="D15" s="16" t="str">
        <x:v>Vendor onboarding document collection and approval workflow</x:v>
      </x:c>
      <x:c r="E15" s="16" t="str">
        <x:v>Use problem statement + full PO answers.</x:v>
      </x:c>
      <x:c r="F15" s="16" t="str">
        <x:v>complete</x:v>
      </x:c>
      <x:c r="G15" s="16" t="str">
        <x:v>Generate vendor onboarding story with dynamic document checklist, sequential approvals, rejection/resubmission, reminders, ERP gate, security, and audit retention.</x:v>
      </x:c>
      <x:c r="H15" s="16" t="str">
        <x:v>Ready for grooming if systems and permissions are identified as dependencies.</x:v>
      </x:c>
      <x:c r="I15" s="16" t="str">
        <x:v>P1</x:v>
      </x:c>
      <x:c r="J15" s="16" t="str">
        <x:v>LLM rubric + keyword/assertion checks</x:v>
      </x:c>
    </x:row>
    <x:row r="16">
      <x:c r="A16" s="16" t="str">
        <x:v>RPT-IOT-001</x:v>
      </x:c>
      <x:c r="B16" s="16" t="str">
        <x:v>report_generation</x:v>
      </x:c>
      <x:c r="C16" s="16" t="str">
        <x:v>IOT_OUTAGE</x:v>
      </x:c>
      <x:c r="D16" s="16" t="str">
        <x:v>IoT gateway outage alert incident routing</x:v>
      </x:c>
      <x:c r="E16" s="16" t="str">
        <x:v>Use problem statement + full PO answers.</x:v>
      </x:c>
      <x:c r="F16" s="16" t="str">
        <x:v>complete</x:v>
      </x:c>
      <x:c r="G16" s="16" t="str">
        <x:v>Generate ServiceNow incident automation story with threshold, maintenance suppression, dedupe, regional routing, severity SLA, notification channels, and recovery handling.</x:v>
      </x:c>
      <x:c r="H16" s="16" t="str">
        <x:v>Must include edge tests for maintenance window, duplicate alert, unknown region, and recovery.</x:v>
      </x:c>
      <x:c r="I16" s="16" t="str">
        <x:v>P0</x:v>
      </x:c>
      <x:c r="J16" s="16" t="str">
        <x:v>LLM rubric + keyword/assertion checks</x:v>
      </x:c>
    </x:row>
    <x:row r="17">
      <x:c r="A17" s="16" t="str">
        <x:v>RPT-BILL-001</x:v>
      </x:c>
      <x:c r="B17" s="16" t="str">
        <x:v>report_generation</x:v>
      </x:c>
      <x:c r="C17" s="16" t="str">
        <x:v>BILLING_DUNNING</x:v>
      </x:c>
      <x:c r="D17" s="16" t="str">
        <x:v>Failed subscription payment CRM tasks and customer notifications</x:v>
      </x:c>
      <x:c r="E17" s="16" t="str">
        <x:v>Use problem statement + full PO answers.</x:v>
      </x:c>
      <x:c r="F17" s="16" t="str">
        <x:v>complete</x:v>
      </x:c>
      <x:c r="G17" s="16" t="str">
        <x:v>Generate billing automation story with retry schedule, enterprise/SMB routing, customer emails, AM task timing, exceptions, and sensitive payment data constraints.</x:v>
      </x:c>
      <x:c r="H17" s="16" t="str">
        <x:v>Must separate customer communication workflow from internal CRM task workflow.</x:v>
      </x:c>
      <x:c r="I17" s="16" t="str">
        <x:v>P0</x:v>
      </x:c>
      <x:c r="J17" s="16" t="str">
        <x:v>LLM rubric + keyword/assertion checks</x:v>
      </x:c>
    </x:row>
    <x:row r="18">
      <x:c r="A18" s="16" t="str">
        <x:v>RPT-GDPR-001</x:v>
      </x:c>
      <x:c r="B18" s="16" t="str">
        <x:v>report_generation</x:v>
      </x:c>
      <x:c r="C18" s="16" t="str">
        <x:v>GDPR_DSR</x:v>
      </x:c>
      <x:c r="D18" s="16" t="str">
        <x:v>Data subject request tracking workflow</x:v>
      </x:c>
      <x:c r="E18" s="16" t="str">
        <x:v>Use problem statement + full PO answers.</x:v>
      </x:c>
      <x:c r="F18" s="16" t="str">
        <x:v>complete</x:v>
      </x:c>
      <x:c r="G18" s="16" t="str">
        <x:v>Generate DSAR tracking story with verification gate, due-date logic, legal approval, reminders, restricted permissions, and audit retention.</x:v>
      </x:c>
      <x:c r="H18" s="16" t="str">
        <x:v>Must flag compliance risks and must not suggest deletion before verification/legal hold checks.</x:v>
      </x:c>
      <x:c r="I18" s="16" t="str">
        <x:v>P0</x:v>
      </x:c>
      <x:c r="J18" s="16" t="str">
        <x:v>LLM rubric + keyword/assertion checks</x:v>
      </x:c>
    </x:row>
    <x:row r="19">
      <x:c r="A19" s="16" t="str">
        <x:v>RPT-ACCESS-001</x:v>
      </x:c>
      <x:c r="B19" s="16" t="str">
        <x:v>report_generation</x:v>
      </x:c>
      <x:c r="C19" s="16" t="str">
        <x:v>FINANCE_ACCESS</x:v>
      </x:c>
      <x:c r="D19" s="16" t="str">
        <x:v>Finance application access request approvals</x:v>
      </x:c>
      <x:c r="E19" s="16" t="str">
        <x:v>Use problem statement + full PO answers.</x:v>
      </x:c>
      <x:c r="F19" s="16" t="str">
        <x:v>complete</x:v>
      </x:c>
      <x:c r="G19" s="16" t="str">
        <x:v>Generate access request story with ServiceNow catalog intake, approval chain, SoD check, provisioning queue, emergency access, and audit evidence.</x:v>
      </x:c>
      <x:c r="H19" s="16" t="str">
        <x:v>Must treat email as retired intake channel after launch.</x:v>
      </x:c>
      <x:c r="I19" s="16" t="str">
        <x:v>P1</x:v>
      </x:c>
      <x:c r="J19" s="16" t="str">
        <x:v>LLM rubric + keyword/assertion checks</x:v>
      </x:c>
    </x:row>
    <x:row r="20">
      <x:c r="A20" s="16" t="str">
        <x:v>RPT-LANG-001</x:v>
      </x:c>
      <x:c r="B20" s="16" t="str">
        <x:v>report_generation</x:v>
      </x:c>
      <x:c r="C20" s="16" t="str">
        <x:v>LANGUAGE_ROUTING</x:v>
      </x:c>
      <x:c r="D20" s="16" t="str">
        <x:v>Inbound support email routing by language and region</x:v>
      </x:c>
      <x:c r="E20" s="16" t="str">
        <x:v>Use problem statement + full PO answers.</x:v>
      </x:c>
      <x:c r="F20" s="16" t="str">
        <x:v>complete</x:v>
      </x:c>
      <x:c r="G20" s="16" t="str">
        <x:v>Generate language-routing story with confidence threshold, queue routing, fallback, internal/auto-reply filtering, standard notifications, no auto-translation, and existing SLA.</x:v>
      </x:c>
      <x:c r="H20" s="16" t="str">
        <x:v>Should not invent translation or new SLA.</x:v>
      </x:c>
      <x:c r="I20" s="16" t="str">
        <x:v>P1</x:v>
      </x:c>
      <x:c r="J20" s="16" t="str">
        <x:v>LLM rubric + keyword/assertion checks</x:v>
      </x:c>
    </x:row>
    <x:row r="21">
      <x:c r="A21" s="16" t="str">
        <x:v>REG-FR-NONE</x:v>
      </x:c>
      <x:c r="B21" s="16" t="str">
        <x:v>post_report_regeneration</x:v>
      </x:c>
      <x:c r="C21" s="16" t="str">
        <x:v>FR_EMAIL_COMPLAINT</x:v>
      </x:c>
      <x:c r="D21" s="16" t="str">
        <x:v>French complaint email capture and Salesforce routing</x:v>
      </x:c>
      <x:c r="E21" s="16" t="str">
        <x:v>Use draft FR report with Open Items. PO answers no gap questions / says they do not know yet.</x:v>
      </x:c>
      <x:c r="F21" s="16" t="str">
        <x:v>none</x:v>
      </x:c>
      <x:c r="G21" s="16" t="str">
        <x:v>Regenerated report should preserve the report, keep all unanswered Open Items, and keep Readiness = Not ready. It may add a note that no gap decisions were provided.</x:v>
      </x:c>
      <x:c r="H21" s="16" t="str">
        <x:v>Fail if it removes open items or upgrades readiness.</x:v>
      </x:c>
      <x:c r="I21" s="16" t="str">
        <x:v>P0</x:v>
      </x:c>
      <x:c r="J21" s="16" t="str">
        <x:v>LLM rubric + keyword/assertion checks</x:v>
      </x:c>
    </x:row>
    <x:row r="22">
      <x:c r="A22" s="16" t="str">
        <x:v>REG-FR-FEW</x:v>
      </x:c>
      <x:c r="B22" s="16" t="str">
        <x:v>post_report_regeneration</x:v>
      </x:c>
      <x:c r="C22" s="16" t="str">
        <x:v>FR_EMAIL_COMPLAINT</x:v>
      </x:c>
      <x:c r="D22" s="16" t="str">
        <x:v>French complaint email capture and Salesforce routing</x:v>
      </x:c>
      <x:c r="E22" s="16" t="str">
        <x:v>Use draft FR report with Open Items. PO answers only volume, missing account handling, and SLA.</x:v>
      </x:c>
      <x:c r="F22" s="16" t="str">
        <x:v>few</x:v>
      </x:c>
      <x:c r="G22" s="16" t="str">
        <x:v>Regenerated report should update volume assumptions, AC for missing-account manual review, SLA/due-date requirements, risks, and test scenarios. All other open items remain.</x:v>
      </x:c>
      <x:c r="H22" s="16" t="str">
        <x:v>Readiness remains Not ready or Conditional until false positives, retention, compliance, account matching, and contact creation are answered.</x:v>
      </x:c>
      <x:c r="I22" s="16" t="str">
        <x:v>P0</x:v>
      </x:c>
      <x:c r="J22" s="16" t="str">
        <x:v>LLM rubric + keyword/assertion checks</x:v>
      </x:c>
    </x:row>
    <x:row r="23">
      <x:c r="A23" s="16" t="str">
        <x:v>REG-FR-ALL</x:v>
      </x:c>
      <x:c r="B23" s="16" t="str">
        <x:v>post_report_regeneration</x:v>
      </x:c>
      <x:c r="C23" s="16" t="str">
        <x:v>FR_EMAIL_COMPLAINT</x:v>
      </x:c>
      <x:c r="D23" s="16" t="str">
        <x:v>French complaint email capture and Salesforce routing</x:v>
      </x:c>
      <x:c r="E23" s="16" t="str">
        <x:v>Use draft FR report with Open Items. PO answers all listed gap questions.</x:v>
      </x:c>
      <x:c r="F23" s="16" t="str">
        <x:v>all</x:v>
      </x:c>
      <x:c r="G23" s="16" t="str">
        <x:v>Regenerated report should remove resolved Open Items, convert answers into ACs/config/data fields/risks/tests, and set Ready for grooming = Yes or Yes with implementation dependencies.</x:v>
      </x:c>
      <x:c r="H23" s="16" t="str">
        <x:v>Must preserve already-correct content and avoid creating new unrelated scope.</x:v>
      </x:c>
      <x:c r="I23" s="16" t="str">
        <x:v>P0</x:v>
      </x:c>
      <x:c r="J23" s="16" t="str">
        <x:v>LLM rubric + keyword/assertion checks</x:v>
      </x:c>
    </x:row>
    <x:row r="24">
      <x:c r="A24" s="16" t="str">
        <x:v>REG-RET-FEW</x:v>
      </x:c>
      <x:c r="B24" s="16" t="str">
        <x:v>post_report_regeneration</x:v>
      </x:c>
      <x:c r="C24" s="16" t="str">
        <x:v>RETURNS_PORTAL</x:v>
      </x:c>
      <x:c r="D24" s="16" t="str">
        <x:v>Return and refund request capture into Jira Service Management</x:v>
      </x:c>
      <x:c r="E24" s="16" t="str">
        <x:v>Use partial returns report. PO answers return window, missing-order handling, and refund SLA only.</x:v>
      </x:c>
      <x:c r="F24" s="16" t="str">
        <x:v>few</x:v>
      </x:c>
      <x:c r="G24" s="16" t="str">
        <x:v>Update eligibility, missing-order AC, and SLA. Keep Open Items for attachments, dedupe, acknowledgement content, fraud, international returns, and privacy.</x:v>
      </x:c>
      <x:c r="H24" s="16" t="str">
        <x:v>No assumed attachment limit or dedupe rule.</x:v>
      </x:c>
      <x:c r="I24" s="16" t="str">
        <x:v>P1</x:v>
      </x:c>
      <x:c r="J24" s="16" t="str">
        <x:v>LLM rubric + keyword/assertion checks</x:v>
      </x:c>
    </x:row>
    <x:row r="25">
      <x:c r="A25" s="16" t="str">
        <x:v>REG-GDPR-NONE</x:v>
      </x:c>
      <x:c r="B25" s="16" t="str">
        <x:v>post_report_regeneration</x:v>
      </x:c>
      <x:c r="C25" s="16" t="str">
        <x:v>GDPR_DSR</x:v>
      </x:c>
      <x:c r="D25" s="16" t="str">
        <x:v>Data subject request tracking workflow</x:v>
      </x:c>
      <x:c r="E25" s="16" t="str">
        <x:v>Use DSAR draft report with compliance gaps. PO provides no answers.</x:v>
      </x:c>
      <x:c r="F25" s="16" t="str">
        <x:v>none</x:v>
      </x:c>
      <x:c r="G25" s="16" t="str">
        <x:v>Keep all compliance open items and Readiness = Not ready. Do not infer legal approval or retention rules.</x:v>
      </x:c>
      <x:c r="H25" s="16" t="str">
        <x:v>Fail if report says ready despite unresolved legal/compliance decisions.</x:v>
      </x:c>
      <x:c r="I25" s="16" t="str">
        <x:v>P0</x:v>
      </x:c>
      <x:c r="J25" s="16" t="str">
        <x:v>LLM rubric + keyword/assertion checks</x:v>
      </x:c>
    </x:row>
    <x:row r="26">
      <x:c r="A26" s="16" t="str">
        <x:v>REG-IOT-FEW</x:v>
      </x:c>
      <x:c r="B26" s="16" t="str">
        <x:v>post_report_regeneration</x:v>
      </x:c>
      <x:c r="C26" s="16" t="str">
        <x:v>IOT_OUTAGE</x:v>
      </x:c>
      <x:c r="D26" s="16" t="str">
        <x:v>IoT gateway outage alert incident routing</x:v>
      </x:c>
      <x:c r="E26" s="16" t="str">
        <x:v>Use IoT draft report. PO answers maintenance source, dedupe, and recovery behavior only.</x:v>
      </x:c>
      <x:c r="F26" s="16" t="str">
        <x:v>few</x:v>
      </x:c>
      <x:c r="G26" s="16" t="str">
        <x:v>Update suppression, duplicate handling, and recovery ACs/test scenarios. Leave region mapping, customer communication, severity, and telemetry retention unresolved if unanswered.</x:v>
      </x:c>
      <x:c r="H26" s="16" t="str">
        <x:v>Should not auto-close incidents unless explicitly answered.</x:v>
      </x:c>
      <x:c r="I26" s="16" t="str">
        <x:v>P1</x:v>
      </x:c>
      <x:c r="J26" s="16" t="str">
        <x:v>LLM rubric + keyword/assertion checks</x:v>
      </x:c>
    </x:row>
    <x:row r="27">
      <x:c r="A27" s="16" t="str">
        <x:v>NEG-FR-INVENTED-AC</x:v>
      </x:c>
      <x:c r="B27" s="16" t="str">
        <x:v>negative_behavior</x:v>
      </x:c>
      <x:c r="C27" s="16" t="str">
        <x:v>FR_EMAIL_COMPLAINT</x:v>
      </x:c>
      <x:c r="D27" s="16" t="str">
        <x:v>French complaint email capture and Salesforce routing</x:v>
      </x:c>
      <x:c r="E27" s="16" t="str">
        <x:v>Initial FR conversation stops after assistant asks missing/invalid account question; PO has not answered.</x:v>
      </x:c>
      <x:c r="F27" s="16" t="str">
        <x:v>partial</x:v>
      </x:c>
      <x:c r="G27" s="16" t="str">
        <x:v>The model should not create a firm AC saying missing-account emails are still captured unless it labels that as an assumption and keeps the open item.</x:v>
      </x:c>
      <x:c r="H27" s="16" t="str">
        <x:v>This catches hallucinated requirements; the attached sample itself is useful as a regression target because it both adds an AC and lists the item open.</x:v>
      </x:c>
      <x:c r="I27" s="16" t="str">
        <x:v>P0</x:v>
      </x:c>
      <x:c r="J27" s="16" t="str">
        <x:v>Check for missing-account AC plus no assumption/open item</x:v>
      </x:c>
    </x:row>
    <x:row r="28">
      <x:c r="A28" s="16" t="str">
        <x:v>NEG-FR-CONFLICT</x:v>
      </x:c>
      <x:c r="B28" s="16" t="str">
        <x:v>negative_behavior</x:v>
      </x:c>
      <x:c r="C28" s="16" t="str">
        <x:v>FR_EMAIL_COMPLAINT</x:v>
      </x:c>
      <x:c r="D28" s="16" t="str">
        <x:v>French complaint email capture and Salesforce routing</x:v>
      </x:c>
      <x:c r="E28" s="16" t="str">
        <x:v>PO first says shared queue, then later says Jean Dupont should own weekday complaints and queue should own weekends.</x:v>
      </x:c>
      <x:c r="F28" s="16" t="str">
        <x:v>conflicting</x:v>
      </x:c>
      <x:c r="G28" s="16" t="str">
        <x:v>Model should detect or reconcile the conflict: either ask a clarification or update assignment rules explicitly with weekday/weekend logic.</x:v>
      </x:c>
      <x:c r="H28" s="16" t="str">
        <x:v>Fail if it keeps only the original queue rule or only the later individual owner without noting conflict.</x:v>
      </x:c>
      <x:c r="I28" s="16" t="str">
        <x:v>P0</x:v>
      </x:c>
      <x:c r="J28" s="16" t="str">
        <x:v>LLM rubric + keyword/assertion checks</x:v>
      </x:c>
    </x:row>
    <x:row r="29">
      <x:c r="A29" s="16" t="str">
        <x:v>NEG-ANSWER-NONE</x:v>
      </x:c>
      <x:c r="B29" s="16" t="str">
        <x:v>negative_behavior</x:v>
      </x:c>
      <x:c r="C29" s="16" t="str">
        <x:v>RETURNS_PORTAL</x:v>
      </x:c>
      <x:c r="D29" s="16" t="str">
        <x:v>Return and refund request capture into Jira Service Management</x:v>
      </x:c>
      <x:c r="E29" s="16" t="str">
        <x:v>After draft report, PO replies to gap questions: "None of these are decided yet."</x:v>
      </x:c>
      <x:c r="F29" s="16" t="str">
        <x:v>none</x:v>
      </x:c>
      <x:c r="G29" s="16" t="str">
        <x:v>Model should keep unanswered gaps, avoid adding assumptions as facts, and preserve Not ready status.</x:v>
      </x:c>
      <x:c r="H29" s="16" t="str">
        <x:v>Fail if open items are deleted.</x:v>
      </x:c>
      <x:c r="I29" s="16" t="str">
        <x:v>P0</x:v>
      </x:c>
      <x:c r="J29" s="16" t="str">
        <x:v>LLM rubric + keyword/assertion checks</x:v>
      </x:c>
    </x:row>
    <x:row r="30">
      <x:c r="A30" s="16" t="str">
        <x:v>NEG-PII-SAFETY</x:v>
      </x:c>
      <x:c r="B30" s="16" t="str">
        <x:v>negative_behavior</x:v>
      </x:c>
      <x:c r="C30" s="16" t="str">
        <x:v>FR_EMAIL_COMPLAINT</x:v>
      </x:c>
      <x:c r="D30" s="16" t="str">
        <x:v>French complaint email capture and Salesforce routing</x:v>
      </x:c>
      <x:c r="E30" s="16" t="str">
        <x:v>Complaint email example contains full card number and national ID in body.</x:v>
      </x:c>
      <x:c r="F30" s="16" t="str">
        <x:v>edge</x:v>
      </x:c>
      <x:c r="G30" s="16" t="str">
        <x:v>Report should include masking/encryption and restricted-access risk/DoD; generated examples should not repeat sensitive values unnecessarily.</x:v>
      </x:c>
      <x:c r="H30" s="16" t="str">
        <x:v>Fail if sensitive values are reproduced in data fields or test examples.</x:v>
      </x:c>
      <x:c r="I30" s="16" t="str">
        <x:v>P0</x:v>
      </x:c>
      <x:c r="J30" s="16" t="str">
        <x:v>LLM rubric + keyword/assertion checks</x:v>
      </x:c>
    </x:row>
    <x:row r="31">
      <x:c r="A31" s="16" t="str">
        <x:v>NEG-DUPLICATE-QUESTIONS</x:v>
      </x:c>
      <x:c r="B31" s="16" t="str">
        <x:v>negative_behavior</x:v>
      </x:c>
      <x:c r="C31" s="16" t="str">
        <x:v>LANGUAGE_ROUTING</x:v>
      </x:c>
      <x:c r="D31" s="16" t="str">
        <x:v>Inbound support email routing by language and region</x:v>
      </x:c>
      <x:c r="E31" s="16" t="str">
        <x:v>PO already answered queues, detection method, fallback, and no translation.</x:v>
      </x:c>
      <x:c r="F31" s="16" t="str">
        <x:v>partial</x:v>
      </x:c>
      <x:c r="G31" s="16" t="str">
        <x:v>Question generator should ask about remaining items such as SLA, false positives, confidence monitoring, and data retention, not repeat answered language-routing questions.</x:v>
      </x:c>
      <x:c r="H31" s="16" t="str">
        <x:v>Fail if &gt;25% of generated questions are redundant.</x:v>
      </x:c>
      <x:c r="I31" s="16" t="str">
        <x:v>P1</x:v>
      </x:c>
      <x:c r="J31" s="16" t="str">
        <x:v>LLM rubric + keyword/assertion checks</x:v>
      </x:c>
    </x:row>
    <x:row r="32">
      <x:c r="A32" s="16" t="str">
        <x:v>NEG-OVERENGINEER-MVP</x:v>
      </x:c>
      <x:c r="B32" s="16" t="str">
        <x:v>negative_behavior</x:v>
      </x:c>
      <x:c r="C32" s="16" t="str">
        <x:v>BILLING_DUNNING</x:v>
      </x:c>
      <x:c r="D32" s="16" t="str">
        <x:v>Failed subscription payment CRM tasks and customer notifications</x:v>
      </x:c>
      <x:c r="E32" s="16" t="str">
        <x:v>PO says MVP is email notifications and CRM tasks only; no SMS, dashboards, AI scoring, or payment processing changes.</x:v>
      </x:c>
      <x:c r="F32" s="16" t="str">
        <x:v>complete</x:v>
      </x:c>
      <x:c r="G32" s="16" t="str">
        <x:v>Report should put SMS, dashboards, AI scoring, and payment processing changes out of scope, not in ACs.</x:v>
      </x:c>
      <x:c r="H32" s="16" t="str">
        <x:v>Fail if report adds unrequested systems as requirements.</x:v>
      </x:c>
      <x:c r="I32" s="16" t="str">
        <x:v>P1</x:v>
      </x:c>
      <x:c r="J32" s="16" t="str">
        <x:v>LLM rubric + keyword/assertion checks</x:v>
      </x:c>
    </x:row>
  </x:sheetData>
  <x:conditionalFormatting sqref="A2:J32">
    <x:cfRule type="expression" dxfId="0" priority="1">
      <x:formula>$I2="P0"</x:formula>
    </x:cfRule>
  </x:conditionalFormatting>
  <x:dataValidations count="2">
    <x:dataValidation type="list" sqref="B2:B32">
      <x:formula1>"question_generation,report_generation,post_report_regeneration,negative_behavior"</x:formula1>
    </x:dataValidation>
    <x:dataValidation type="list" sqref="I2:I32">
      <x:formula1>"P0,P1,P2"</x:formula1>
    </x:dataValidation>
  </x:dataValidations>
  <x:pageMargins left="0.7" right="0.7" top="0.75" bottom="0.75" header="0.3" footer="0.3"/>
  <x:tableParts count="1">
    <x:tablePart xmlns:r="http://schemas.openxmlformats.org/officeDocument/2006/relationships" r:id="R10eaf06c4c4d41b1"/>
  </x:tableParts>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24" hidden="0" customWidth="1"/>
    <x:col min="4" max="4" width="62" hidden="0" customWidth="1"/>
    <x:col min="5" max="5" width="62" hidden="0" customWidth="1"/>
    <x:col min="6" max="6" width="50" hidden="0" customWidth="1"/>
  </x:cols>
  <x:sheetData>
    <x:row r="1" ht="28" customHeight="1">
      <x:c r="A1" s="6" t="str">
        <x:v>Scenario ID</x:v>
      </x:c>
      <x:c r="B1" s="6" t="str">
        <x:v>Slot ID</x:v>
      </x:c>
      <x:c r="C1" s="6" t="str">
        <x:v>Category</x:v>
      </x:c>
      <x:c r="D1" s="6" t="str">
        <x:v>Sample PO Question</x:v>
      </x:c>
      <x:c r="E1" s="6" t="str">
        <x:v>Full/Expected PO Answer</x:v>
      </x:c>
      <x:c r="F1" s="6" t="str">
        <x:v>Grading Notes</x:v>
      </x:c>
    </x:row>
    <x:row r="2">
      <x:c r="A2" s="16" t="str">
        <x:v>FR_EMAIL_COMPLAINT</x:v>
      </x:c>
      <x:c r="B2" s="16" t="str">
        <x:v>case_ownership_routing</x:v>
      </x:c>
      <x:c r="C2" s="16" t="str">
        <x:v>Ownership &amp; routing</x:v>
      </x:c>
      <x:c r="D2" s="16" t="str">
        <x:v>Who owns complaints received at the French regional address?</x:v>
      </x:c>
      <x:c r="E2" s="16" t="str">
        <x:v>French Customer Support Team owns them and handles internal distribution.</x:v>
      </x:c>
      <x:c r="F2" s="16" t="str">
        <x:v>Must identify team ownership before technical routing.</x:v>
      </x:c>
    </x:row>
    <x:row r="3">
      <x:c r="A3" s="16" t="str">
        <x:v>FR_EMAIL_COMPLAINT</x:v>
      </x:c>
      <x:c r="B3" s="16" t="str">
        <x:v>case_content_requirements</x:v>
      </x:c>
      <x:c r="C3" s="16" t="str">
        <x:v>Priority information</x:v>
      </x:c>
      <x:c r="D3" s="16" t="str">
        <x:v>What information must be visible first on the Case for triage?</x:v>
      </x:c>
      <x:c r="E3" s="16" t="str">
        <x:v>Issue type and customer account number.</x:v>
      </x:c>
      <x:c r="F3" s="16" t="str">
        <x:v>Should drive field/layout requirements.</x:v>
      </x:c>
    </x:row>
    <x:row r="4">
      <x:c r="A4" s="16" t="str">
        <x:v>FR_EMAIL_COMPLAINT</x:v>
      </x:c>
      <x:c r="B4" s="16" t="str">
        <x:v>case_assignment_method</x:v>
      </x:c>
      <x:c r="C4" s="16" t="str">
        <x:v>Assignment method</x:v>
      </x:c>
      <x:c r="D4" s="16" t="str">
        <x:v>Should Cases be assigned to a queue, everyone, or individual team members?</x:v>
      </x:c>
      <x:c r="E4" s="16" t="str">
        <x:v>Shared Salesforce queue monitored by the French team.</x:v>
      </x:c>
      <x:c r="F4" s="16" t="str">
        <x:v>Should avoid individual owner assumptions.</x:v>
      </x:c>
    </x:row>
    <x:row r="5">
      <x:c r="A5" s="16" t="str">
        <x:v>FR_EMAIL_COMPLAINT</x:v>
      </x:c>
      <x:c r="B5" s="16" t="str">
        <x:v>notification_urgency</x:v>
      </x:c>
      <x:c r="C5" s="16" t="str">
        <x:v>Notification</x:v>
      </x:c>
      <x:c r="D5" s="16" t="str">
        <x:v>How quickly does the team need to know a complaint arrived?</x:v>
      </x:c>
      <x:c r="E5" s="16" t="str">
        <x:v>Real-time email alert as soon as a complaint hits the queue.</x:v>
      </x:c>
      <x:c r="F5" s="16" t="str">
        <x:v>Should define notification channel and timing.</x:v>
      </x:c>
    </x:row>
    <x:row r="6">
      <x:c r="A6" s="16" t="str">
        <x:v>FR_EMAIL_COMPLAINT</x:v>
      </x:c>
      <x:c r="B6" s="16" t="str">
        <x:v>email_classification_logic</x:v>
      </x:c>
      <x:c r="C6" s="16" t="str">
        <x:v>Classification</x:v>
      </x:c>
      <x:c r="D6" s="16" t="str">
        <x:v>How should the system identify complaint emails?</x:v>
      </x:c>
      <x:c r="E6" s="16" t="str">
        <x:v>Subject contains Réclamation or Plainte.</x:v>
      </x:c>
      <x:c r="F6" s="16" t="str">
        <x:v>Should capture subject-line-only rule and accent handling as a possible follow-up.</x:v>
      </x:c>
    </x:row>
    <x:row r="7">
      <x:c r="A7" s="16" t="str">
        <x:v>FR_EMAIL_COMPLAINT</x:v>
      </x:c>
      <x:c r="B7" s="16" t="str">
        <x:v>account_number_exception</x:v>
      </x:c>
      <x:c r="C7" s="16" t="str">
        <x:v>Exception handling</x:v>
      </x:c>
      <x:c r="D7" s="16" t="str">
        <x:v>What should happen when the customer account number is missing or invalid?</x:v>
      </x:c>
      <x:c r="E7" s="16" t="str">
        <x:v>Still create and route the Case, leave Account blank, store raw value if present, and flag manual review.</x:v>
      </x:c>
      <x:c r="F7" s="16" t="str">
        <x:v>Critical gap; model should not invent this if unanswered.</x:v>
      </x:c>
    </x:row>
    <x:row r="8">
      <x:c r="A8" s="16" t="str">
        <x:v>FR_EMAIL_COMPLAINT</x:v>
      </x:c>
      <x:c r="B8" s="16" t="str">
        <x:v>expected_volume</x:v>
      </x:c>
      <x:c r="C8" s="16" t="str">
        <x:v>Operational volume</x:v>
      </x:c>
      <x:c r="D8" s="16" t="str">
        <x:v>How many complaint emails are expected daily or weekly, including peak periods?</x:v>
      </x:c>
      <x:c r="E8" s="16" t="str">
        <x:v>10-15/day, peaks up to 40/day around billing cycles.</x:v>
      </x:c>
      <x:c r="F8" s="16" t="str">
        <x:v>Needed for notification fatigue and queue strategy.</x:v>
      </x:c>
    </x:row>
    <x:row r="9">
      <x:c r="A9" s="16" t="str">
        <x:v>FR_EMAIL_COMPLAINT</x:v>
      </x:c>
      <x:c r="B9" s="16" t="str">
        <x:v>sla_response</x:v>
      </x:c>
      <x:c r="C9" s="16" t="str">
        <x:v>SLA</x:v>
      </x:c>
      <x:c r="D9" s="16" t="str">
        <x:v>What first-response SLA should apply and should any complaints escalate faster?</x:v>
      </x:c>
      <x:c r="E9" s="16" t="str">
        <x:v>First response in 1 French business day; legal-threat complaints escalate immediately.</x:v>
      </x:c>
      <x:c r="F9" s="16" t="str">
        <x:v>Determines due dates and escalation rules.</x:v>
      </x:c>
    </x:row>
    <x:row r="10">
      <x:c r="A10" s="16" t="str">
        <x:v>FR_EMAIL_COMPLAINT</x:v>
      </x:c>
      <x:c r="B10" s="16" t="str">
        <x:v>account_matching</x:v>
      </x:c>
      <x:c r="C10" s="16" t="str">
        <x:v>Account matching</x:v>
      </x:c>
      <x:c r="D10" s="16" t="str">
        <x:v>How should the system match an email to an Account when account number is present or absent?</x:v>
      </x:c>
      <x:c r="E10" s="16" t="str">
        <x:v>Account number first, exact Contact email second, domain only when one active Account matches.</x:v>
      </x:c>
      <x:c r="F10" s="16" t="str">
        <x:v>Prevents over-broad domain matching.</x:v>
      </x:c>
    </x:row>
    <x:row r="11">
      <x:c r="A11" s="16" t="str">
        <x:v>FR_EMAIL_COMPLAINT</x:v>
      </x:c>
      <x:c r="B11" s="16" t="str">
        <x:v>false_positive_filtering</x:v>
      </x:c>
      <x:c r="C11" s="16" t="str">
        <x:v>False positives</x:v>
      </x:c>
      <x:c r="D11" s="16" t="str">
        <x:v>Are there senders or subject patterns containing the keywords that should not create Cases?</x:v>
      </x:c>
      <x:c r="E11" s="16" t="str">
        <x:v>Ignore internal domains and FYI forwards; keyword match should be case-insensitive and accent-aware.</x:v>
      </x:c>
      <x:c r="F11" s="16" t="str">
        <x:v>Important for routing quality.</x:v>
      </x:c>
    </x:row>
    <x:row r="12">
      <x:c r="A12" s="16" t="str">
        <x:v>FR_EMAIL_COMPLAINT</x:v>
      </x:c>
      <x:c r="B12" s="16" t="str">
        <x:v>compliance_retention</x:v>
      </x:c>
      <x:c r="C12" s="16" t="str">
        <x:v>Compliance &amp; retention</x:v>
      </x:c>
      <x:c r="D12" s="16" t="str">
        <x:v>Are there data masking, access, or retention rules for French complaint emails?</x:v>
      </x:c>
      <x:c r="E12" s="16" t="str">
        <x:v>Mask sensitive IDs/card data, restrict access, retain complaint Cases for 5 years.</x:v>
      </x:c>
      <x:c r="F12" s="16" t="str">
        <x:v>Important for GDPR/data protection.</x:v>
      </x:c>
    </x:row>
    <x:row r="13">
      <x:c r="A13" s="16" t="str">
        <x:v>RETURNS_PORTAL</x:v>
      </x:c>
      <x:c r="B13" s="16" t="str">
        <x:v>request_owner</x:v>
      </x:c>
      <x:c r="C13" s="16" t="str">
        <x:v>Ownership &amp; routing</x:v>
      </x:c>
      <x:c r="D13" s="16" t="str">
        <x:v>Which team should own return/refund requests after creation?</x:v>
      </x:c>
      <x:c r="E13" s="16" t="str">
        <x:v>Returns Operations queue named RETURNS_OPS.</x:v>
      </x:c>
      <x:c r="F13" s="16" t="str">
        <x:v>Identifies queue and persona.</x:v>
      </x:c>
    </x:row>
    <x:row r="14">
      <x:c r="A14" s="16" t="str">
        <x:v>RETURNS_PORTAL</x:v>
      </x:c>
      <x:c r="B14" s="16" t="str">
        <x:v>trigger_source</x:v>
      </x:c>
      <x:c r="C14" s="16" t="str">
        <x:v>Trigger</x:v>
      </x:c>
      <x:c r="D14" s="16" t="str">
        <x:v>Should tickets be created from the web form, the confirmation email, or both?</x:v>
      </x:c>
      <x:c r="E14" s="16" t="str">
        <x:v>Web form is source of truth; email is backup evidence only.</x:v>
      </x:c>
      <x:c r="F14" s="16" t="str">
        <x:v>Avoids duplicate intake channels.</x:v>
      </x:c>
    </x:row>
    <x:row r="15">
      <x:c r="A15" s="16" t="str">
        <x:v>RETURNS_PORTAL</x:v>
      </x:c>
      <x:c r="B15" s="16" t="str">
        <x:v>required_data</x:v>
      </x:c>
      <x:c r="C15" s="16" t="str">
        <x:v>Required fields</x:v>
      </x:c>
      <x:c r="D15" s="16" t="str">
        <x:v>What data must the form provide before a ticket is useful?</x:v>
      </x:c>
      <x:c r="E15" s="16" t="str">
        <x:v>Order ID, customer email, item SKU, reason, outcome, purchase date, and attachments.</x:v>
      </x:c>
      <x:c r="F15" s="16" t="str">
        <x:v>Drives field validation and ACs.</x:v>
      </x:c>
    </x:row>
    <x:row r="16">
      <x:c r="A16" s="16" t="str">
        <x:v>RETURNS_PORTAL</x:v>
      </x:c>
      <x:c r="B16" s="16" t="str">
        <x:v>eligibility_rules</x:v>
      </x:c>
      <x:c r="C16" s="16" t="str">
        <x:v>Business rules</x:v>
      </x:c>
      <x:c r="D16" s="16" t="str">
        <x:v>Should the system check return eligibility automatically?</x:v>
      </x:c>
      <x:c r="E16" s="16" t="str">
        <x:v>Auto-mark eligible if delivered and within 30 days; otherwise review required.</x:v>
      </x:c>
      <x:c r="F16" s="16" t="str">
        <x:v>Drives implementation logic.</x:v>
      </x:c>
    </x:row>
    <x:row r="17">
      <x:c r="A17" s="16" t="str">
        <x:v>RETURNS_PORTAL</x:v>
      </x:c>
      <x:c r="B17" s="16" t="str">
        <x:v>missing_order</x:v>
      </x:c>
      <x:c r="C17" s="16" t="str">
        <x:v>Exception handling</x:v>
      </x:c>
      <x:c r="D17" s="16" t="str">
        <x:v>What happens if order ID is missing or invalid?</x:v>
      </x:c>
      <x:c r="E17" s="16" t="str">
        <x:v>Create ticket with Needs Order Review.</x:v>
      </x:c>
      <x:c r="F17" s="16" t="str">
        <x:v>Prevents lost requests.</x:v>
      </x:c>
    </x:row>
    <x:row r="18">
      <x:c r="A18" s="16" t="str">
        <x:v>RETURNS_PORTAL</x:v>
      </x:c>
      <x:c r="B18" s="16" t="str">
        <x:v>attachments</x:v>
      </x:c>
      <x:c r="C18" s="16" t="str">
        <x:v>Attachments</x:v>
      </x:c>
      <x:c r="D18" s="16" t="str">
        <x:v>How should receipts/photos be handled?</x:v>
      </x:c>
      <x:c r="E18" s="16" t="str">
        <x:v>Attach to Jira ticket, 10 MB limit, block executable files.</x:v>
      </x:c>
      <x:c r="F18" s="16" t="str">
        <x:v>Important for technical constraints.</x:v>
      </x:c>
    </x:row>
    <x:row r="19">
      <x:c r="A19" s="16" t="str">
        <x:v>RETURNS_PORTAL</x:v>
      </x:c>
      <x:c r="B19" s="16" t="str">
        <x:v>dedupe</x:v>
      </x:c>
      <x:c r="C19" s="16" t="str">
        <x:v>Deduplication</x:v>
      </x:c>
      <x:c r="D19" s="16" t="str">
        <x:v>How should duplicate return requests be identified?</x:v>
      </x:c>
      <x:c r="E19" s="16" t="str">
        <x:v>Order ID + customer email + item SKU within 24 hours.</x:v>
      </x:c>
      <x:c r="F19" s="16" t="str">
        <x:v>Prevents duplicate refunds.</x:v>
      </x:c>
    </x:row>
    <x:row r="20">
      <x:c r="A20" s="16" t="str">
        <x:v>RETURNS_PORTAL</x:v>
      </x:c>
      <x:c r="B20" s="16" t="str">
        <x:v>sla</x:v>
      </x:c>
      <x:c r="C20" s="16" t="str">
        <x:v>SLA</x:v>
      </x:c>
      <x:c r="D20" s="16" t="str">
        <x:v>What is the expected response or refund decision time?</x:v>
      </x:c>
      <x:c r="E20" s="16" t="str">
        <x:v>First review in 4 business hours; decision in 2 business days.</x:v>
      </x:c>
      <x:c r="F20" s="16" t="str">
        <x:v>Determines reporting and escalation.</x:v>
      </x:c>
    </x:row>
    <x:row r="21">
      <x:c r="A21" s="16" t="str">
        <x:v>VENDOR_KYC</x:v>
      </x:c>
      <x:c r="B21" s="16" t="str">
        <x:v>stakeholders</x:v>
      </x:c>
      <x:c r="C21" s="16" t="str">
        <x:v>Roles</x:v>
      </x:c>
      <x:c r="D21" s="16" t="str">
        <x:v>Who participates in vendor onboarding and who owns the record?</x:v>
      </x:c>
      <x:c r="E21" s="16" t="str">
        <x:v>Vendor Onboarding owns; Compliance and Procurement approve.</x:v>
      </x:c>
      <x:c r="F21" s="16" t="str">
        <x:v>Clarifies workflow roles.</x:v>
      </x:c>
    </x:row>
    <x:row r="22">
      <x:c r="A22" s="16" t="str">
        <x:v>VENDOR_KYC</x:v>
      </x:c>
      <x:c r="B22" s="16" t="str">
        <x:v>documents</x:v>
      </x:c>
      <x:c r="C22" s="16" t="str">
        <x:v>Documents</x:v>
      </x:c>
      <x:c r="D22" s="16" t="str">
        <x:v>Which documents are required for each vendor type?</x:v>
      </x:c>
      <x:c r="E22" s="16" t="str">
        <x:v>Domestic: tax form, bank letter. International: plus insurance and sanctions evidence.</x:v>
      </x:c>
      <x:c r="F22" s="16" t="str">
        <x:v>Drives dynamic checklist.</x:v>
      </x:c>
    </x:row>
    <x:row r="23">
      <x:c r="A23" s="16" t="str">
        <x:v>VENDOR_KYC</x:v>
      </x:c>
      <x:c r="B23" s="16" t="str">
        <x:v>approval_sequence</x:v>
      </x:c>
      <x:c r="C23" s="16" t="str">
        <x:v>Approvals</x:v>
      </x:c>
      <x:c r="D23" s="16" t="str">
        <x:v>Should approvals run in parallel or sequence?</x:v>
      </x:c>
      <x:c r="E23" s="16" t="str">
        <x:v>Sequential: tax, bank, compliance, procurement.</x:v>
      </x:c>
      <x:c r="F23" s="16" t="str">
        <x:v>Drives workflow state machine.</x:v>
      </x:c>
    </x:row>
    <x:row r="24">
      <x:c r="A24" s="16" t="str">
        <x:v>VENDOR_KYC</x:v>
      </x:c>
      <x:c r="B24" s="16" t="str">
        <x:v>rejection_resubmission</x:v>
      </x:c>
      <x:c r="C24" s="16" t="str">
        <x:v>Rejection handling</x:v>
      </x:c>
      <x:c r="D24" s="16" t="str">
        <x:v>What should happen when a document is rejected?</x:v>
      </x:c>
      <x:c r="E24" s="16" t="str">
        <x:v>Reviewer chooses reason and vendor-facing instructions; vendor can resubmit.</x:v>
      </x:c>
      <x:c r="F24" s="16" t="str">
        <x:v>Needed for acceptance criteria.</x:v>
      </x:c>
    </x:row>
    <x:row r="25">
      <x:c r="A25" s="16" t="str">
        <x:v>VENDOR_KYC</x:v>
      </x:c>
      <x:c r="B25" s="16" t="str">
        <x:v>security</x:v>
      </x:c>
      <x:c r="C25" s="16" t="str">
        <x:v>Data security</x:v>
      </x:c>
      <x:c r="D25" s="16" t="str">
        <x:v>Who can access bank/tax documents and what needs encryption?</x:v>
      </x:c>
      <x:c r="E25" s="16" t="str">
        <x:v>Restrict to onboarding/compliance/procurement; encrypt bank data.</x:v>
      </x:c>
      <x:c r="F25" s="16" t="str">
        <x:v>Important for sensitive data.</x:v>
      </x:c>
    </x:row>
    <x:row r="26">
      <x:c r="A26" s="16" t="str">
        <x:v>VENDOR_KYC</x:v>
      </x:c>
      <x:c r="B26" s="16" t="str">
        <x:v>erp_handoff</x:v>
      </x:c>
      <x:c r="C26" s="16" t="str">
        <x:v>Integration</x:v>
      </x:c>
      <x:c r="D26" s="16" t="str">
        <x:v>When should the vendor be created in ERP?</x:v>
      </x:c>
      <x:c r="E26" s="16" t="str">
        <x:v>Only after all approvals are complete.</x:v>
      </x:c>
      <x:c r="F26" s="16" t="str">
        <x:v>Prevents premature PO creation.</x:v>
      </x:c>
    </x:row>
    <x:row r="27">
      <x:c r="A27" s="16" t="str">
        <x:v>IOT_OUTAGE</x:v>
      </x:c>
      <x:c r="B27" s="16" t="str">
        <x:v>trigger_threshold</x:v>
      </x:c>
      <x:c r="C27" s="16" t="str">
        <x:v>Trigger threshold</x:v>
      </x:c>
      <x:c r="D27" s="16" t="str">
        <x:v>What outage condition should create an incident?</x:v>
      </x:c>
      <x:c r="E27" s="16" t="str">
        <x:v>Gateway offline for more than 15 minutes.</x:v>
      </x:c>
      <x:c r="F27" s="16" t="str">
        <x:v>Avoids noisy incidents.</x:v>
      </x:c>
    </x:row>
    <x:row r="28">
      <x:c r="A28" s="16" t="str">
        <x:v>IOT_OUTAGE</x:v>
      </x:c>
      <x:c r="B28" s="16" t="str">
        <x:v>maintenance_suppression</x:v>
      </x:c>
      <x:c r="C28" s="16" t="str">
        <x:v>Suppression</x:v>
      </x:c>
      <x:c r="D28" s="16" t="str">
        <x:v>How should planned maintenance be handled?</x:v>
      </x:c>
      <x:c r="E28" s="16" t="str">
        <x:v>Suppress incidents during maintenance calendar windows.</x:v>
      </x:c>
      <x:c r="F28" s="16" t="str">
        <x:v>Prevents false positives.</x:v>
      </x:c>
    </x:row>
    <x:row r="29">
      <x:c r="A29" s="16" t="str">
        <x:v>IOT_OUTAGE</x:v>
      </x:c>
      <x:c r="B29" s="16" t="str">
        <x:v>dedupe</x:v>
      </x:c>
      <x:c r="C29" s="16" t="str">
        <x:v>Deduplication</x:v>
      </x:c>
      <x:c r="D29" s="16" t="str">
        <x:v>Should repeated alerts for the same gateway create more incidents?</x:v>
      </x:c>
      <x:c r="E29" s="16" t="str">
        <x:v>One open incident per gateway; suppress duplicates for 60 minutes.</x:v>
      </x:c>
      <x:c r="F29" s="16" t="str">
        <x:v>Critical operational rule.</x:v>
      </x:c>
    </x:row>
    <x:row r="30">
      <x:c r="A30" s="16" t="str">
        <x:v>IOT_OUTAGE</x:v>
      </x:c>
      <x:c r="B30" s="16" t="str">
        <x:v>routing</x:v>
      </x:c>
      <x:c r="C30" s="16" t="str">
        <x:v>Routing</x:v>
      </x:c>
      <x:c r="D30" s="16" t="str">
        <x:v>How is the correct field team determined?</x:v>
      </x:c>
      <x:c r="E30" s="16" t="str">
        <x:v>Route by site region to North/South/East/West queues.</x:v>
      </x:c>
      <x:c r="F30" s="16" t="str">
        <x:v>Drives routing logic.</x:v>
      </x:c>
    </x:row>
    <x:row r="31">
      <x:c r="A31" s="16" t="str">
        <x:v>IOT_OUTAGE</x:v>
      </x:c>
      <x:c r="B31" s="16" t="str">
        <x:v>severity_sla</x:v>
      </x:c>
      <x:c r="C31" s="16" t="str">
        <x:v>Severity &amp; SLA</x:v>
      </x:c>
      <x:c r="D31" s="16" t="str">
        <x:v>What severity levels and acknowledgement times apply?</x:v>
      </x:c>
      <x:c r="E31" s="16" t="str">
        <x:v>Sev1 in 15 minutes; Sev2 in 1 hour.</x:v>
      </x:c>
      <x:c r="F31" s="16" t="str">
        <x:v>Needed for incident priority.</x:v>
      </x:c>
    </x:row>
    <x:row r="32">
      <x:c r="A32" s="16" t="str">
        <x:v>IOT_OUTAGE</x:v>
      </x:c>
      <x:c r="B32" s="16" t="str">
        <x:v>recovery</x:v>
      </x:c>
      <x:c r="C32" s="16" t="str">
        <x:v>Recovery handling</x:v>
      </x:c>
      <x:c r="D32" s="16" t="str">
        <x:v>What should happen when the gateway comes back online?</x:v>
      </x:c>
      <x:c r="E32" s="16" t="str">
        <x:v>Add recovery note and move incident to Pending Review; do not auto-close.</x:v>
      </x:c>
      <x:c r="F32" s="16" t="str">
        <x:v>Avoids wrong closure behavior.</x:v>
      </x:c>
    </x:row>
    <x:row r="33">
      <x:c r="A33" s="16" t="str">
        <x:v>BILLING_DUNNING</x:v>
      </x:c>
      <x:c r="B33" s="16" t="str">
        <x:v>payment_trigger</x:v>
      </x:c>
      <x:c r="C33" s="16" t="str">
        <x:v>Trigger</x:v>
      </x:c>
      <x:c r="D33" s="16" t="str">
        <x:v>Which payment failure should start automation?</x:v>
      </x:c>
      <x:c r="E33" s="16" t="str">
        <x:v>Start after first failed charge; AM task after final retry for enterprise.</x:v>
      </x:c>
      <x:c r="F33" s="16" t="str">
        <x:v>Separates customer email from internal task.</x:v>
      </x:c>
    </x:row>
    <x:row r="34">
      <x:c r="A34" s="16" t="str">
        <x:v>BILLING_DUNNING</x:v>
      </x:c>
      <x:c r="B34" s="16" t="str">
        <x:v>retry_schedule</x:v>
      </x:c>
      <x:c r="C34" s="16" t="str">
        <x:v>Retry policy</x:v>
      </x:c>
      <x:c r="D34" s="16" t="str">
        <x:v>What is the retry and suspension schedule?</x:v>
      </x:c>
      <x:c r="E34" s="16" t="str">
        <x:v>Retry days 1, 3, 7; suspension day 10.</x:v>
      </x:c>
      <x:c r="F34" s="16" t="str">
        <x:v>Drives workflow timing.</x:v>
      </x:c>
    </x:row>
    <x:row r="35">
      <x:c r="A35" s="16" t="str">
        <x:v>BILLING_DUNNING</x:v>
      </x:c>
      <x:c r="B35" s="16" t="str">
        <x:v>owner_routing</x:v>
      </x:c>
      <x:c r="C35" s="16" t="str">
        <x:v>Routing</x:v>
      </x:c>
      <x:c r="D35" s="16" t="str">
        <x:v>Who owns follow-up for enterprise vs SMB?</x:v>
      </x:c>
      <x:c r="E35" s="16" t="str">
        <x:v>Enterprise Account Owner; SMB Billing Ops queue.</x:v>
      </x:c>
      <x:c r="F35" s="16" t="str">
        <x:v>Prevents generic owner.</x:v>
      </x:c>
    </x:row>
    <x:row r="36">
      <x:c r="A36" s="16" t="str">
        <x:v>BILLING_DUNNING</x:v>
      </x:c>
      <x:c r="B36" s="16" t="str">
        <x:v>customer_notices</x:v>
      </x:c>
      <x:c r="C36" s="16" t="str">
        <x:v>Notifications</x:v>
      </x:c>
      <x:c r="D36" s="16" t="str">
        <x:v>What customer notifications are allowed and when?</x:v>
      </x:c>
      <x:c r="E36" s="16" t="str">
        <x:v>Branded emails on day 1, 3, 7; no SMS.</x:v>
      </x:c>
      <x:c r="F36" s="16" t="str">
        <x:v>Avoids unsupported channels.</x:v>
      </x:c>
    </x:row>
    <x:row r="37">
      <x:c r="A37" s="16" t="str">
        <x:v>BILLING_DUNNING</x:v>
      </x:c>
      <x:c r="B37" s="16" t="str">
        <x:v>payment_data</x:v>
      </x:c>
      <x:c r="C37" s="16" t="str">
        <x:v>Sensitive data</x:v>
      </x:c>
      <x:c r="D37" s="16" t="str">
        <x:v>What payment data can appear in CRM tasks?</x:v>
      </x:c>
      <x:c r="E37" s="16" t="str">
        <x:v>Invoice ID, failure code, amount, retry schedule, last four only if available.</x:v>
      </x:c>
      <x:c r="F37" s="16" t="str">
        <x:v>Avoids card-data leakage.</x:v>
      </x:c>
    </x:row>
    <x:row r="38">
      <x:c r="A38" s="16" t="str">
        <x:v>GDPR_DSR</x:v>
      </x:c>
      <x:c r="B38" s="16" t="str">
        <x:v>request_types</x:v>
      </x:c>
      <x:c r="C38" s="16" t="str">
        <x:v>Scope</x:v>
      </x:c>
      <x:c r="D38" s="16" t="str">
        <x:v>Which privacy request types are in scope?</x:v>
      </x:c>
      <x:c r="E38" s="16" t="str">
        <x:v>Access, deletion, correction, restriction.</x:v>
      </x:c>
      <x:c r="F38" s="16" t="str">
        <x:v>Defines record type/picklist.</x:v>
      </x:c>
    </x:row>
    <x:row r="39">
      <x:c r="A39" s="16" t="str">
        <x:v>GDPR_DSR</x:v>
      </x:c>
      <x:c r="B39" s="16" t="str">
        <x:v>identity_verification</x:v>
      </x:c>
      <x:c r="C39" s="16" t="str">
        <x:v>Verification</x:v>
      </x:c>
      <x:c r="D39" s="16" t="str">
        <x:v>Should a request be created before identity verification is complete?</x:v>
      </x:c>
      <x:c r="E39" s="16" t="str">
        <x:v>Create case immediately with status Verification Required; do not process until verified.</x:v>
      </x:c>
      <x:c r="F39" s="16" t="str">
        <x:v>Critical compliance workflow.</x:v>
      </x:c>
    </x:row>
    <x:row r="40">
      <x:c r="A40" s="16" t="str">
        <x:v>GDPR_DSR</x:v>
      </x:c>
      <x:c r="B40" s="16" t="str">
        <x:v>deadline</x:v>
      </x:c>
      <x:c r="C40" s="16" t="str">
        <x:v>SLA</x:v>
      </x:c>
      <x:c r="D40" s="16" t="str">
        <x:v>What legal deadline starts when request is received?</x:v>
      </x:c>
      <x:c r="E40" s="16" t="str">
        <x:v>30 calendar days from receipt; extensions documented.</x:v>
      </x:c>
      <x:c r="F40" s="16" t="str">
        <x:v>Drives due date.</x:v>
      </x:c>
    </x:row>
    <x:row r="41">
      <x:c r="A41" s="16" t="str">
        <x:v>GDPR_DSR</x:v>
      </x:c>
      <x:c r="B41" s="16" t="str">
        <x:v>legal_hold</x:v>
      </x:c>
      <x:c r="C41" s="16" t="str">
        <x:v>Legal approval</x:v>
      </x:c>
      <x:c r="D41" s="16" t="str">
        <x:v>When does Legal need to approve or block deletion?</x:v>
      </x:c>
      <x:c r="E41" s="16" t="str">
        <x:v>Legal approval required for active contract or legal hold.</x:v>
      </x:c>
      <x:c r="F41" s="16" t="str">
        <x:v>Prevents improper deletion.</x:v>
      </x:c>
    </x:row>
    <x:row r="42">
      <x:c r="A42" s="16" t="str">
        <x:v>GDPR_DSR</x:v>
      </x:c>
      <x:c r="B42" s="16" t="str">
        <x:v>audit_evidence</x:v>
      </x:c>
      <x:c r="C42" s="16" t="str">
        <x:v>Audit</x:v>
      </x:c>
      <x:c r="D42" s="16" t="str">
        <x:v>What evidence needs to be retained and for how long?</x:v>
      </x:c>
      <x:c r="E42" s="16" t="str">
        <x:v>Evidence retained 6 years with restricted permissions.</x:v>
      </x:c>
      <x:c r="F42" s="16" t="str">
        <x:v>Compliance requirement.</x:v>
      </x:c>
    </x:row>
    <x:row r="43">
      <x:c r="A43" s="16" t="str">
        <x:v>FINANCE_ACCESS</x:v>
      </x:c>
      <x:c r="B43" s="16" t="str">
        <x:v>intake_channel</x:v>
      </x:c>
      <x:c r="C43" s="16" t="str">
        <x:v>Trigger</x:v>
      </x:c>
      <x:c r="D43" s="16" t="str">
        <x:v>Should access requests still be accepted by email after go-live?</x:v>
      </x:c>
      <x:c r="E43" s="16" t="str">
        <x:v>No; use ServiceNow catalog request.</x:v>
      </x:c>
      <x:c r="F43" s="16" t="str">
        <x:v>Prevents ambiguous intake.</x:v>
      </x:c>
    </x:row>
    <x:row r="44">
      <x:c r="A44" s="16" t="str">
        <x:v>FINANCE_ACCESS</x:v>
      </x:c>
      <x:c r="B44" s="16" t="str">
        <x:v>approval_path</x:v>
      </x:c>
      <x:c r="C44" s="16" t="str">
        <x:v>Approvals</x:v>
      </x:c>
      <x:c r="D44" s="16" t="str">
        <x:v>Who approves and in what order?</x:v>
      </x:c>
      <x:c r="E44" s="16" t="str">
        <x:v>Line manager, then finance app owner, after SoD check.</x:v>
      </x:c>
      <x:c r="F44" s="16" t="str">
        <x:v>Controls workflow.</x:v>
      </x:c>
    </x:row>
    <x:row r="45">
      <x:c r="A45" s="16" t="str">
        <x:v>FINANCE_ACCESS</x:v>
      </x:c>
      <x:c r="B45" s="16" t="str">
        <x:v>required_fields</x:v>
      </x:c>
      <x:c r="C45" s="16" t="str">
        <x:v>Required fields</x:v>
      </x:c>
      <x:c r="D45" s="16" t="str">
        <x:v>What information is required to evaluate access?</x:v>
      </x:c>
      <x:c r="E45" s="16" t="str">
        <x:v>Employee ID, cost center, role, business justification, expiration for contractors.</x:v>
      </x:c>
      <x:c r="F45" s="16" t="str">
        <x:v>Drives validation.</x:v>
      </x:c>
    </x:row>
    <x:row r="46">
      <x:c r="A46" s="16" t="str">
        <x:v>FINANCE_ACCESS</x:v>
      </x:c>
      <x:c r="B46" s="16" t="str">
        <x:v>sla</x:v>
      </x:c>
      <x:c r="C46" s="16" t="str">
        <x:v>SLA</x:v>
      </x:c>
      <x:c r="D46" s="16" t="str">
        <x:v>What approval/provisioning turnaround is expected?</x:v>
      </x:c>
      <x:c r="E46" s="16" t="str">
        <x:v>Approval within 2 business days; provisioning within 1 day.</x:v>
      </x:c>
      <x:c r="F46" s="16" t="str">
        <x:v>Defines due dates.</x:v>
      </x:c>
    </x:row>
    <x:row r="47">
      <x:c r="A47" s="16" t="str">
        <x:v>FINANCE_ACCESS</x:v>
      </x:c>
      <x:c r="B47" s="16" t="str">
        <x:v>emergency</x:v>
      </x:c>
      <x:c r="C47" s="16" t="str">
        <x:v>Exceptions</x:v>
      </x:c>
      <x:c r="D47" s="16" t="str">
        <x:v>How should emergency access be handled?</x:v>
      </x:c>
      <x:c r="E47" s="16" t="str">
        <x:v>Expires after 24 hours and requires retroactive approval.</x:v>
      </x:c>
      <x:c r="F47" s="16" t="str">
        <x:v>Important edge case.</x:v>
      </x:c>
    </x:row>
    <x:row r="48">
      <x:c r="A48" s="16" t="str">
        <x:v>LANGUAGE_ROUTING</x:v>
      </x:c>
      <x:c r="B48" s="16" t="str">
        <x:v>language_detection</x:v>
      </x:c>
      <x:c r="C48" s="16" t="str">
        <x:v>Detection</x:v>
      </x:c>
      <x:c r="D48" s="16" t="str">
        <x:v>How should language be detected and what confidence threshold is acceptable?</x:v>
      </x:c>
      <x:c r="E48" s="16" t="str">
        <x:v>Subject/body detection; below 80% confidence goes to Global Triage.</x:v>
      </x:c>
      <x:c r="F48" s="16" t="str">
        <x:v>Avoids wrong routing.</x:v>
      </x:c>
    </x:row>
    <x:row r="49">
      <x:c r="A49" s="16" t="str">
        <x:v>LANGUAGE_ROUTING</x:v>
      </x:c>
      <x:c r="B49" s="16" t="str">
        <x:v>queues</x:v>
      </x:c>
      <x:c r="C49" s="16" t="str">
        <x:v>Routing</x:v>
      </x:c>
      <x:c r="D49" s="16" t="str">
        <x:v>Which queues should receive Spanish, Italian, or unknown-language emails?</x:v>
      </x:c>
      <x:c r="E49" s="16" t="str">
        <x:v>Spanish Queue, Italian Queue, unknown to Global Triage.</x:v>
      </x:c>
      <x:c r="F49" s="16" t="str">
        <x:v>Core routing rule.</x:v>
      </x:c>
    </x:row>
    <x:row r="50">
      <x:c r="A50" s="16" t="str">
        <x:v>LANGUAGE_ROUTING</x:v>
      </x:c>
      <x:c r="B50" s="16" t="str">
        <x:v>fallback</x:v>
      </x:c>
      <x:c r="C50" s="16" t="str">
        <x:v>Fallback</x:v>
      </x:c>
      <x:c r="D50" s="16" t="str">
        <x:v>What should happen if detection fails or languages are mixed?</x:v>
      </x:c>
      <x:c r="E50" s="16" t="str">
        <x:v>Route to Global Triage.</x:v>
      </x:c>
      <x:c r="F50" s="16" t="str">
        <x:v>Needed for acceptance tests.</x:v>
      </x:c>
    </x:row>
    <x:row r="51">
      <x:c r="A51" s="16" t="str">
        <x:v>LANGUAGE_ROUTING</x:v>
      </x:c>
      <x:c r="B51" s="16" t="str">
        <x:v>translation</x:v>
      </x:c>
      <x:c r="C51" s="16" t="str">
        <x:v>Out of scope</x:v>
      </x:c>
      <x:c r="D51" s="16" t="str">
        <x:v>Should the system translate emails automatically?</x:v>
      </x:c>
      <x:c r="E51" s="16" t="str">
        <x:v>No translation in MVP.</x:v>
      </x:c>
      <x:c r="F51" s="16" t="str">
        <x:v>Prevents over-scope.</x:v>
      </x:c>
    </x:row>
    <x:row r="52">
      <x:c r="A52" s="16" t="str">
        <x:v>LANGUAGE_ROUTING</x:v>
      </x:c>
      <x:c r="B52" s="16" t="str">
        <x:v>false_positives</x:v>
      </x:c>
      <x:c r="C52" s="16" t="str">
        <x:v>Filtering</x:v>
      </x:c>
      <x:c r="D52" s="16" t="str">
        <x:v>Which inbound emails should be ignored?</x:v>
      </x:c>
      <x:c r="E52" s="16" t="str">
        <x:v>Internal domains and auto-replies.</x:v>
      </x:c>
      <x:c r="F52" s="16" t="str">
        <x:v>Prevents noise.</x:v>
      </x:c>
    </x:row>
  </x:sheetData>
  <x:pageMargins left="0.7" right="0.7" top="0.75" bottom="0.75" header="0.3" footer="0.3"/>
  <x:tableParts count="1">
    <x:tablePart xmlns:r="http://schemas.openxmlformats.org/officeDocument/2006/relationships" r:id="R20c3fdef21344f4a"/>
  </x:tableParts>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70" hidden="0" customWidth="1"/>
    <x:col min="4" max="4" width="10" hidden="0" customWidth="1"/>
    <x:col min="5" max="5" width="44" hidden="0" customWidth="1"/>
  </x:cols>
  <x:sheetData>
    <x:row r="1" ht="28" customHeight="1">
      <x:c r="A1" s="6" t="str">
        <x:v>Scenario ID</x:v>
      </x:c>
      <x:c r="B1" s="6" t="str">
        <x:v>Report Section</x:v>
      </x:c>
      <x:c r="C1" s="6" t="str">
        <x:v>Assertion</x:v>
      </x:c>
      <x:c r="D1" s="6" t="str">
        <x:v>Priority</x:v>
      </x:c>
      <x:c r="E1" s="6" t="str">
        <x:v>Check Method</x:v>
      </x:c>
    </x:row>
    <x:row r="2">
      <x:c r="A2" s="16" t="str">
        <x:v>FR_EMAIL_COMPLAINT</x:v>
      </x:c>
      <x:c r="B2" s="16" t="str">
        <x:v>Summary</x:v>
      </x:c>
      <x:c r="C2" s="16" t="str">
        <x:v>Summarizes the automation, affected team, trigger, target system, and business benefit in 2-4 sentences.</x:v>
      </x:c>
      <x:c r="D2" s="16" t="str">
        <x:v>P1</x:v>
      </x:c>
      <x:c r="E2" s="16" t="str">
        <x:v>contains trigger + owner + destination + outcome</x:v>
      </x:c>
    </x:row>
    <x:row r="3">
      <x:c r="A3" s="16" t="str">
        <x:v>FR_EMAIL_COMPLAINT</x:v>
      </x:c>
      <x:c r="B3" s="16" t="str">
        <x:v>User Story</x:v>
      </x:c>
      <x:c r="C3" s="16" t="str">
        <x:v>Uses As a / I want / So that format and names the actual persona, not a generic user.</x:v>
      </x:c>
      <x:c r="D3" s="16" t="str">
        <x:v>P0</x:v>
      </x:c>
      <x:c r="E3" s="16" t="str">
        <x:v>regex-like section check; persona matches scenario owner</x:v>
      </x:c>
    </x:row>
    <x:row r="4">
      <x:c r="A4" s="16" t="str">
        <x:v>FR_EMAIL_COMPLAINT</x:v>
      </x:c>
      <x:c r="B4" s="16" t="str">
        <x:v>Background</x:v>
      </x:c>
      <x:c r="C4" s="16" t="str">
        <x:v>Explains current pain and why automation is needed without adding unprovided scope.</x:v>
      </x:c>
      <x:c r="D4" s="16" t="str">
        <x:v>P1</x:v>
      </x:c>
      <x:c r="E4" s="16" t="str">
        <x:v>human/LLM rubric</x:v>
      </x:c>
    </x:row>
    <x:row r="5">
      <x:c r="A5" s="16" t="str">
        <x:v>FR_EMAIL_COMPLAINT</x:v>
      </x:c>
      <x:c r="B5" s="16" t="str">
        <x:v>Acceptance Criteria</x:v>
      </x:c>
      <x:c r="C5" s="16" t="str">
        <x:v>Acceptance criteria use Given/When/Then, are testable, and include positive and negative/edge scenarios.</x:v>
      </x:c>
      <x:c r="D5" s="16" t="str">
        <x:v>P0</x:v>
      </x:c>
      <x:c r="E5" s="16" t="str">
        <x:v>all ACs have observable outcome</x:v>
      </x:c>
    </x:row>
    <x:row r="6">
      <x:c r="A6" s="16" t="str">
        <x:v>FR_EMAIL_COMPLAINT</x:v>
      </x:c>
      <x:c r="B6" s="16" t="str">
        <x:v>Technical Implementation</x:v>
      </x:c>
      <x:c r="C6" s="16" t="str">
        <x:v>Implementation is framed as proposed/configuration detail and does not contradict PO answers.</x:v>
      </x:c>
      <x:c r="D6" s="16" t="str">
        <x:v>P0</x:v>
      </x:c>
      <x:c r="E6" s="16" t="str">
        <x:v>trace each technical claim to input, answer, or assumption</x:v>
      </x:c>
    </x:row>
    <x:row r="7">
      <x:c r="A7" s="16" t="str">
        <x:v>FR_EMAIL_COMPLAINT</x:v>
      </x:c>
      <x:c r="B7" s="16" t="str">
        <x:v>Data Fields</x:v>
      </x:c>
      <x:c r="C7" s="16" t="str">
        <x:v>Lists key fields, purpose, type, and object/work item where relevant.</x:v>
      </x:c>
      <x:c r="D7" s="16" t="str">
        <x:v>P1</x:v>
      </x:c>
      <x:c r="E7" s="16" t="str">
        <x:v>field list exists and aligns to ACs</x:v>
      </x:c>
    </x:row>
    <x:row r="8">
      <x:c r="A8" s="16" t="str">
        <x:v>FR_EMAIL_COMPLAINT</x:v>
      </x:c>
      <x:c r="B8" s="16" t="str">
        <x:v>Dependencies</x:v>
      </x:c>
      <x:c r="C8" s="16" t="str">
        <x:v>Separates external systems, licenses, permissions, and team dependencies from assumptions.</x:v>
      </x:c>
      <x:c r="D8" s="16" t="str">
        <x:v>P1</x:v>
      </x:c>
      <x:c r="E8" s="16" t="str">
        <x:v>dependencies are actionable</x:v>
      </x:c>
    </x:row>
    <x:row r="9">
      <x:c r="A9" s="16" t="str">
        <x:v>FR_EMAIL_COMPLAINT</x:v>
      </x:c>
      <x:c r="B9" s="16" t="str">
        <x:v>Assumptions</x:v>
      </x:c>
      <x:c r="C9" s="16" t="str">
        <x:v>Only includes unconfirmed details as assumptions; does not hide decisions in assumptions.</x:v>
      </x:c>
      <x:c r="D9" s="16" t="str">
        <x:v>P0</x:v>
      </x:c>
      <x:c r="E9" s="16" t="str">
        <x:v>unanswered requirements are not stated as facts</x:v>
      </x:c>
    </x:row>
    <x:row r="10">
      <x:c r="A10" s="16" t="str">
        <x:v>FR_EMAIL_COMPLAINT</x:v>
      </x:c>
      <x:c r="B10" s="16" t="str">
        <x:v>Open Items</x:v>
      </x:c>
      <x:c r="C10" s="16" t="str">
        <x:v>Includes unresolved PO decisions and removes them only when answered later.</x:v>
      </x:c>
      <x:c r="D10" s="16" t="str">
        <x:v>P0</x:v>
      </x:c>
      <x:c r="E10" s="16" t="str">
        <x:v>open item count matches missing slots</x:v>
      </x:c>
    </x:row>
    <x:row r="11">
      <x:c r="A11" s="16" t="str">
        <x:v>FR_EMAIL_COMPLAINT</x:v>
      </x:c>
      <x:c r="B11" s="16" t="str">
        <x:v>Out of Scope</x:v>
      </x:c>
      <x:c r="C11" s="16" t="str">
        <x:v>Explicitly excludes plausible but unrequested features such as advanced analytics, SMS, NLP, or historical migration unless PO asks.</x:v>
      </x:c>
      <x:c r="D11" s="16" t="str">
        <x:v>P1</x:v>
      </x:c>
      <x:c r="E11" s="16" t="str">
        <x:v>not over-scoped</x:v>
      </x:c>
    </x:row>
    <x:row r="12">
      <x:c r="A12" s="16" t="str">
        <x:v>FR_EMAIL_COMPLAINT</x:v>
      </x:c>
      <x:c r="B12" s="16" t="str">
        <x:v>Definition of Done</x:v>
      </x:c>
      <x:c r="C12" s="16" t="str">
        <x:v>Includes configuration/deployment, test execution, team access, monitoring, and documentation where applicable.</x:v>
      </x:c>
      <x:c r="D12" s="16" t="str">
        <x:v>P1</x:v>
      </x:c>
      <x:c r="E12" s="16" t="str">
        <x:v>DoD is verifiable</x:v>
      </x:c>
    </x:row>
    <x:row r="13">
      <x:c r="A13" s="16" t="str">
        <x:v>FR_EMAIL_COMPLAINT</x:v>
      </x:c>
      <x:c r="B13" s="16" t="str">
        <x:v>Risks</x:v>
      </x:c>
      <x:c r="C13" s="16" t="str">
        <x:v>Risks have severity and mitigation; includes integration failure, false positives, permissions, and sensitive data where applicable.</x:v>
      </x:c>
      <x:c r="D13" s="16" t="str">
        <x:v>P1</x:v>
      </x:c>
      <x:c r="E13" s="16" t="str">
        <x:v>each risk has mitigation</x:v>
      </x:c>
    </x:row>
    <x:row r="14">
      <x:c r="A14" s="16" t="str">
        <x:v>FR_EMAIL_COMPLAINT</x:v>
      </x:c>
      <x:c r="B14" s="16" t="str">
        <x:v>Test Scenarios</x:v>
      </x:c>
      <x:c r="C14" s="16" t="str">
        <x:v>Includes valid, missing-data, non-trigger, duplicate/false-positive, notification, and failure scenarios as applicable.</x:v>
      </x:c>
      <x:c r="D14" s="16" t="str">
        <x:v>P0</x:v>
      </x:c>
      <x:c r="E14" s="16" t="str">
        <x:v>scenario-specific negative tests exist</x:v>
      </x:c>
    </x:row>
    <x:row r="15">
      <x:c r="A15" s="16" t="str">
        <x:v>FR_EMAIL_COMPLAINT</x:v>
      </x:c>
      <x:c r="B15" s="16" t="str">
        <x:v>Readiness</x:v>
      </x:c>
      <x:c r="C15" s="16" t="str">
        <x:v>Readiness status matches remaining open items; partial answers should not produce Ready for grooming = Yes.</x:v>
      </x:c>
      <x:c r="D15" s="16" t="str">
        <x:v>P0</x:v>
      </x:c>
      <x:c r="E15" s="16" t="str">
        <x:v>readiness is consistent with gaps</x:v>
      </x:c>
    </x:row>
    <x:row r="16">
      <x:c r="A16" s="16" t="str">
        <x:v>FR_EMAIL_COMPLAINT</x:v>
      </x:c>
      <x:c r="B16" s="16" t="str">
        <x:v>Acceptance Criteria</x:v>
      </x:c>
      <x:c r="C16" s="16" t="str">
        <x:v>Complaint email creates exactly one Salesforce Case only when subject contains Réclamation or Plainte.</x:v>
      </x:c>
      <x:c r="D16" s="16" t="str">
        <x:v>P0</x:v>
      </x:c>
      <x:c r="E16" s="16" t="str">
        <x:v>keyword match subject line</x:v>
      </x:c>
    </x:row>
    <x:row r="17">
      <x:c r="A17" s="16" t="str">
        <x:v>FR_EMAIL_COMPLAINT</x:v>
      </x:c>
      <x:c r="B17" s="16" t="str">
        <x:v>Acceptance Criteria</x:v>
      </x:c>
      <x:c r="C17" s="16" t="str">
        <x:v>Case is routed to a French Customer Support Salesforce queue, not directly to individual users unless PO changes assignment.</x:v>
      </x:c>
      <x:c r="D17" s="16" t="str">
        <x:v>P0</x:v>
      </x:c>
      <x:c r="E17" s="16" t="str">
        <x:v>owner is queue</x:v>
      </x:c>
    </x:row>
    <x:row r="18">
      <x:c r="A18" s="16" t="str">
        <x:v>FR_EMAIL_COMPLAINT</x:v>
      </x:c>
      <x:c r="B18" s="16" t="str">
        <x:v>Acceptance Criteria</x:v>
      </x:c>
      <x:c r="C18" s="16" t="str">
        <x:v>Real-time email alert timing is testable; example threshold within 5 minutes if PO has accepted it or marked assumption.</x:v>
      </x:c>
      <x:c r="D18" s="16" t="str">
        <x:v>P1</x:v>
      </x:c>
      <x:c r="E18" s="16" t="str">
        <x:v>notification threshold specified</x:v>
      </x:c>
    </x:row>
    <x:row r="19">
      <x:c r="A19" s="16" t="str">
        <x:v>FR_EMAIL_COMPLAINT</x:v>
      </x:c>
      <x:c r="B19" s="16" t="str">
        <x:v>Acceptance Criteria</x:v>
      </x:c>
      <x:c r="C19" s="16" t="str">
        <x:v>Issue type and customer account number are displayed prominently on the Case.</x:v>
      </x:c>
      <x:c r="D19" s="16" t="str">
        <x:v>P0</x:v>
      </x:c>
      <x:c r="E19" s="16" t="str">
        <x:v>layout/field AC exists</x:v>
      </x:c>
    </x:row>
    <x:row r="20">
      <x:c r="A20" s="16" t="str">
        <x:v>FR_EMAIL_COMPLAINT</x:v>
      </x:c>
      <x:c r="B20" s="16" t="str">
        <x:v>Open Items</x:v>
      </x:c>
      <x:c r="C20" s="16" t="str">
        <x:v>Missing/invalid account handling remains an open item unless PO answered it; report must not silently make it a firm requirement.</x:v>
      </x:c>
      <x:c r="D20" s="16" t="str">
        <x:v>P0</x:v>
      </x:c>
      <x:c r="E20" s="16" t="str">
        <x:v>no invented AC</x:v>
      </x:c>
    </x:row>
    <x:row r="21">
      <x:c r="A21" s="16" t="str">
        <x:v>FR_EMAIL_COMPLAINT</x:v>
      </x:c>
      <x:c r="B21" s="16" t="str">
        <x:v>Technical Implementation</x:v>
      </x:c>
      <x:c r="C21" s="16" t="str">
        <x:v>French regional address should remain placeholder if not provided; do not invent an exact mailbox.</x:v>
      </x:c>
      <x:c r="D21" s="16" t="str">
        <x:v>P0</x:v>
      </x:c>
      <x:c r="E21" s="16" t="str">
        <x:v>no fabricated address</x:v>
      </x:c>
    </x:row>
    <x:row r="22">
      <x:c r="A22" s="16" t="str">
        <x:v>FR_EMAIL_COMPLAINT</x:v>
      </x:c>
      <x:c r="B22" s="16" t="str">
        <x:v>Risks</x:v>
      </x:c>
      <x:c r="C22" s="16" t="str">
        <x:v>Includes false positives from internal forwarded emails and sensitive data in complaint body.</x:v>
      </x:c>
      <x:c r="D22" s="16" t="str">
        <x:v>P1</x:v>
      </x:c>
      <x:c r="E22" s="16" t="str">
        <x:v>risks cover false positives and data protection</x:v>
      </x:c>
    </x:row>
    <x:row r="23">
      <x:c r="A23" s="16" t="str">
        <x:v>RETURNS_PORTAL</x:v>
      </x:c>
      <x:c r="B23" s="16" t="str">
        <x:v>Summary</x:v>
      </x:c>
      <x:c r="C23" s="16" t="str">
        <x:v>Summarizes the automation, affected team, trigger, target system, and business benefit in 2-4 sentences.</x:v>
      </x:c>
      <x:c r="D23" s="16" t="str">
        <x:v>P1</x:v>
      </x:c>
      <x:c r="E23" s="16" t="str">
        <x:v>contains trigger + owner + destination + outcome</x:v>
      </x:c>
    </x:row>
    <x:row r="24">
      <x:c r="A24" s="16" t="str">
        <x:v>RETURNS_PORTAL</x:v>
      </x:c>
      <x:c r="B24" s="16" t="str">
        <x:v>User Story</x:v>
      </x:c>
      <x:c r="C24" s="16" t="str">
        <x:v>Uses As a / I want / So that format and names the actual persona, not a generic user.</x:v>
      </x:c>
      <x:c r="D24" s="16" t="str">
        <x:v>P0</x:v>
      </x:c>
      <x:c r="E24" s="16" t="str">
        <x:v>regex-like section check; persona matches scenario owner</x:v>
      </x:c>
    </x:row>
    <x:row r="25">
      <x:c r="A25" s="16" t="str">
        <x:v>RETURNS_PORTAL</x:v>
      </x:c>
      <x:c r="B25" s="16" t="str">
        <x:v>Background</x:v>
      </x:c>
      <x:c r="C25" s="16" t="str">
        <x:v>Explains current pain and why automation is needed without adding unprovided scope.</x:v>
      </x:c>
      <x:c r="D25" s="16" t="str">
        <x:v>P1</x:v>
      </x:c>
      <x:c r="E25" s="16" t="str">
        <x:v>human/LLM rubric</x:v>
      </x:c>
    </x:row>
    <x:row r="26">
      <x:c r="A26" s="16" t="str">
        <x:v>RETURNS_PORTAL</x:v>
      </x:c>
      <x:c r="B26" s="16" t="str">
        <x:v>Acceptance Criteria</x:v>
      </x:c>
      <x:c r="C26" s="16" t="str">
        <x:v>Acceptance criteria use Given/When/Then, are testable, and include positive and negative/edge scenarios.</x:v>
      </x:c>
      <x:c r="D26" s="16" t="str">
        <x:v>P0</x:v>
      </x:c>
      <x:c r="E26" s="16" t="str">
        <x:v>all ACs have observable outcome</x:v>
      </x:c>
    </x:row>
    <x:row r="27">
      <x:c r="A27" s="16" t="str">
        <x:v>RETURNS_PORTAL</x:v>
      </x:c>
      <x:c r="B27" s="16" t="str">
        <x:v>Technical Implementation</x:v>
      </x:c>
      <x:c r="C27" s="16" t="str">
        <x:v>Implementation is framed as proposed/configuration detail and does not contradict PO answers.</x:v>
      </x:c>
      <x:c r="D27" s="16" t="str">
        <x:v>P0</x:v>
      </x:c>
      <x:c r="E27" s="16" t="str">
        <x:v>trace each technical claim to input, answer, or assumption</x:v>
      </x:c>
    </x:row>
    <x:row r="28">
      <x:c r="A28" s="16" t="str">
        <x:v>RETURNS_PORTAL</x:v>
      </x:c>
      <x:c r="B28" s="16" t="str">
        <x:v>Data Fields</x:v>
      </x:c>
      <x:c r="C28" s="16" t="str">
        <x:v>Lists key fields, purpose, type, and object/work item where relevant.</x:v>
      </x:c>
      <x:c r="D28" s="16" t="str">
        <x:v>P1</x:v>
      </x:c>
      <x:c r="E28" s="16" t="str">
        <x:v>field list exists and aligns to ACs</x:v>
      </x:c>
    </x:row>
    <x:row r="29">
      <x:c r="A29" s="16" t="str">
        <x:v>RETURNS_PORTAL</x:v>
      </x:c>
      <x:c r="B29" s="16" t="str">
        <x:v>Dependencies</x:v>
      </x:c>
      <x:c r="C29" s="16" t="str">
        <x:v>Separates external systems, licenses, permissions, and team dependencies from assumptions.</x:v>
      </x:c>
      <x:c r="D29" s="16" t="str">
        <x:v>P1</x:v>
      </x:c>
      <x:c r="E29" s="16" t="str">
        <x:v>dependencies are actionable</x:v>
      </x:c>
    </x:row>
    <x:row r="30">
      <x:c r="A30" s="16" t="str">
        <x:v>RETURNS_PORTAL</x:v>
      </x:c>
      <x:c r="B30" s="16" t="str">
        <x:v>Assumptions</x:v>
      </x:c>
      <x:c r="C30" s="16" t="str">
        <x:v>Only includes unconfirmed details as assumptions; does not hide decisions in assumptions.</x:v>
      </x:c>
      <x:c r="D30" s="16" t="str">
        <x:v>P0</x:v>
      </x:c>
      <x:c r="E30" s="16" t="str">
        <x:v>unanswered requirements are not stated as facts</x:v>
      </x:c>
    </x:row>
    <x:row r="31">
      <x:c r="A31" s="16" t="str">
        <x:v>RETURNS_PORTAL</x:v>
      </x:c>
      <x:c r="B31" s="16" t="str">
        <x:v>Open Items</x:v>
      </x:c>
      <x:c r="C31" s="16" t="str">
        <x:v>Includes unresolved PO decisions and removes them only when answered later.</x:v>
      </x:c>
      <x:c r="D31" s="16" t="str">
        <x:v>P0</x:v>
      </x:c>
      <x:c r="E31" s="16" t="str">
        <x:v>open item count matches missing slots</x:v>
      </x:c>
    </x:row>
    <x:row r="32">
      <x:c r="A32" s="16" t="str">
        <x:v>RETURNS_PORTAL</x:v>
      </x:c>
      <x:c r="B32" s="16" t="str">
        <x:v>Out of Scope</x:v>
      </x:c>
      <x:c r="C32" s="16" t="str">
        <x:v>Explicitly excludes plausible but unrequested features such as advanced analytics, SMS, NLP, or historical migration unless PO asks.</x:v>
      </x:c>
      <x:c r="D32" s="16" t="str">
        <x:v>P1</x:v>
      </x:c>
      <x:c r="E32" s="16" t="str">
        <x:v>not over-scoped</x:v>
      </x:c>
    </x:row>
    <x:row r="33">
      <x:c r="A33" s="16" t="str">
        <x:v>RETURNS_PORTAL</x:v>
      </x:c>
      <x:c r="B33" s="16" t="str">
        <x:v>Definition of Done</x:v>
      </x:c>
      <x:c r="C33" s="16" t="str">
        <x:v>Includes configuration/deployment, test execution, team access, monitoring, and documentation where applicable.</x:v>
      </x:c>
      <x:c r="D33" s="16" t="str">
        <x:v>P1</x:v>
      </x:c>
      <x:c r="E33" s="16" t="str">
        <x:v>DoD is verifiable</x:v>
      </x:c>
    </x:row>
    <x:row r="34">
      <x:c r="A34" s="16" t="str">
        <x:v>RETURNS_PORTAL</x:v>
      </x:c>
      <x:c r="B34" s="16" t="str">
        <x:v>Risks</x:v>
      </x:c>
      <x:c r="C34" s="16" t="str">
        <x:v>Risks have severity and mitigation; includes integration failure, false positives, permissions, and sensitive data where applicable.</x:v>
      </x:c>
      <x:c r="D34" s="16" t="str">
        <x:v>P1</x:v>
      </x:c>
      <x:c r="E34" s="16" t="str">
        <x:v>each risk has mitigation</x:v>
      </x:c>
    </x:row>
    <x:row r="35">
      <x:c r="A35" s="16" t="str">
        <x:v>RETURNS_PORTAL</x:v>
      </x:c>
      <x:c r="B35" s="16" t="str">
        <x:v>Test Scenarios</x:v>
      </x:c>
      <x:c r="C35" s="16" t="str">
        <x:v>Includes valid, missing-data, non-trigger, duplicate/false-positive, notification, and failure scenarios as applicable.</x:v>
      </x:c>
      <x:c r="D35" s="16" t="str">
        <x:v>P0</x:v>
      </x:c>
      <x:c r="E35" s="16" t="str">
        <x:v>scenario-specific negative tests exist</x:v>
      </x:c>
    </x:row>
    <x:row r="36">
      <x:c r="A36" s="16" t="str">
        <x:v>RETURNS_PORTAL</x:v>
      </x:c>
      <x:c r="B36" s="16" t="str">
        <x:v>Readiness</x:v>
      </x:c>
      <x:c r="C36" s="16" t="str">
        <x:v>Readiness status matches remaining open items; partial answers should not produce Ready for grooming = Yes.</x:v>
      </x:c>
      <x:c r="D36" s="16" t="str">
        <x:v>P0</x:v>
      </x:c>
      <x:c r="E36" s="16" t="str">
        <x:v>readiness is consistent with gaps</x:v>
      </x:c>
    </x:row>
    <x:row r="37">
      <x:c r="A37" s="16" t="str">
        <x:v>RETURNS_PORTAL</x:v>
      </x:c>
      <x:c r="B37" s="16" t="str">
        <x:v>Acceptance Criteria</x:v>
      </x:c>
      <x:c r="C37" s="16" t="str">
        <x:v>Web form submission creates one Jira Service Management request in RETURNS_OPS.</x:v>
      </x:c>
      <x:c r="D37" s="16" t="str">
        <x:v>P0</x:v>
      </x:c>
      <x:c r="E37" s="16" t="str">
        <x:v>source is web form</x:v>
      </x:c>
    </x:row>
    <x:row r="38">
      <x:c r="A38" s="16" t="str">
        <x:v>RETURNS_PORTAL</x:v>
      </x:c>
      <x:c r="B38" s="16" t="str">
        <x:v>Acceptance Criteria</x:v>
      </x:c>
      <x:c r="C38" s="16" t="str">
        <x:v>Missing order ID still creates a Needs Order Review ticket if PO answered this.</x:v>
      </x:c>
      <x:c r="D38" s="16" t="str">
        <x:v>P0</x:v>
      </x:c>
      <x:c r="E38" s="16" t="str">
        <x:v>exception flow</x:v>
      </x:c>
    </x:row>
    <x:row r="39">
      <x:c r="A39" s="16" t="str">
        <x:v>RETURNS_PORTAL</x:v>
      </x:c>
      <x:c r="B39" s="16" t="str">
        <x:v>Acceptance Criteria</x:v>
      </x:c>
      <x:c r="C39" s="16" t="str">
        <x:v>Eligibility status uses delivery status and 30-day return window.</x:v>
      </x:c>
      <x:c r="D39" s="16" t="str">
        <x:v>P1</x:v>
      </x:c>
      <x:c r="E39" s="16" t="str">
        <x:v>eligibility rule</x:v>
      </x:c>
    </x:row>
    <x:row r="40">
      <x:c r="A40" s="16" t="str">
        <x:v>RETURNS_PORTAL</x:v>
      </x:c>
      <x:c r="B40" s="16" t="str">
        <x:v>Acceptance Criteria</x:v>
      </x:c>
      <x:c r="C40" s="16" t="str">
        <x:v>Attachments are preserved with size/type controls.</x:v>
      </x:c>
      <x:c r="D40" s="16" t="str">
        <x:v>P1</x:v>
      </x:c>
      <x:c r="E40" s="16" t="str">
        <x:v>attachment edge cases</x:v>
      </x:c>
    </x:row>
    <x:row r="41">
      <x:c r="A41" s="16" t="str">
        <x:v>RETURNS_PORTAL</x:v>
      </x:c>
      <x:c r="B41" s="16" t="str">
        <x:v>Risks</x:v>
      </x:c>
      <x:c r="C41" s="16" t="str">
        <x:v>Includes duplicate requests causing duplicate refunds and payment data exposure.</x:v>
      </x:c>
      <x:c r="D41" s="16" t="str">
        <x:v>P0</x:v>
      </x:c>
      <x:c r="E41" s="16" t="str">
        <x:v>dedupe/privacy risks</x:v>
      </x:c>
    </x:row>
    <x:row r="42">
      <x:c r="A42" s="16" t="str">
        <x:v>VENDOR_KYC</x:v>
      </x:c>
      <x:c r="B42" s="16" t="str">
        <x:v>Summary</x:v>
      </x:c>
      <x:c r="C42" s="16" t="str">
        <x:v>Summarizes the automation, affected team, trigger, target system, and business benefit in 2-4 sentences.</x:v>
      </x:c>
      <x:c r="D42" s="16" t="str">
        <x:v>P1</x:v>
      </x:c>
      <x:c r="E42" s="16" t="str">
        <x:v>contains trigger + owner + destination + outcome</x:v>
      </x:c>
    </x:row>
    <x:row r="43">
      <x:c r="A43" s="16" t="str">
        <x:v>VENDOR_KYC</x:v>
      </x:c>
      <x:c r="B43" s="16" t="str">
        <x:v>User Story</x:v>
      </x:c>
      <x:c r="C43" s="16" t="str">
        <x:v>Uses As a / I want / So that format and names the actual persona, not a generic user.</x:v>
      </x:c>
      <x:c r="D43" s="16" t="str">
        <x:v>P0</x:v>
      </x:c>
      <x:c r="E43" s="16" t="str">
        <x:v>regex-like section check; persona matches scenario owner</x:v>
      </x:c>
    </x:row>
    <x:row r="44">
      <x:c r="A44" s="16" t="str">
        <x:v>VENDOR_KYC</x:v>
      </x:c>
      <x:c r="B44" s="16" t="str">
        <x:v>Background</x:v>
      </x:c>
      <x:c r="C44" s="16" t="str">
        <x:v>Explains current pain and why automation is needed without adding unprovided scope.</x:v>
      </x:c>
      <x:c r="D44" s="16" t="str">
        <x:v>P1</x:v>
      </x:c>
      <x:c r="E44" s="16" t="str">
        <x:v>human/LLM rubric</x:v>
      </x:c>
    </x:row>
    <x:row r="45">
      <x:c r="A45" s="16" t="str">
        <x:v>VENDOR_KYC</x:v>
      </x:c>
      <x:c r="B45" s="16" t="str">
        <x:v>Acceptance Criteria</x:v>
      </x:c>
      <x:c r="C45" s="16" t="str">
        <x:v>Acceptance criteria use Given/When/Then, are testable, and include positive and negative/edge scenarios.</x:v>
      </x:c>
      <x:c r="D45" s="16" t="str">
        <x:v>P0</x:v>
      </x:c>
      <x:c r="E45" s="16" t="str">
        <x:v>all ACs have observable outcome</x:v>
      </x:c>
    </x:row>
    <x:row r="46">
      <x:c r="A46" s="16" t="str">
        <x:v>VENDOR_KYC</x:v>
      </x:c>
      <x:c r="B46" s="16" t="str">
        <x:v>Technical Implementation</x:v>
      </x:c>
      <x:c r="C46" s="16" t="str">
        <x:v>Implementation is framed as proposed/configuration detail and does not contradict PO answers.</x:v>
      </x:c>
      <x:c r="D46" s="16" t="str">
        <x:v>P0</x:v>
      </x:c>
      <x:c r="E46" s="16" t="str">
        <x:v>trace each technical claim to input, answer, or assumption</x:v>
      </x:c>
    </x:row>
    <x:row r="47">
      <x:c r="A47" s="16" t="str">
        <x:v>VENDOR_KYC</x:v>
      </x:c>
      <x:c r="B47" s="16" t="str">
        <x:v>Data Fields</x:v>
      </x:c>
      <x:c r="C47" s="16" t="str">
        <x:v>Lists key fields, purpose, type, and object/work item where relevant.</x:v>
      </x:c>
      <x:c r="D47" s="16" t="str">
        <x:v>P1</x:v>
      </x:c>
      <x:c r="E47" s="16" t="str">
        <x:v>field list exists and aligns to ACs</x:v>
      </x:c>
    </x:row>
    <x:row r="48">
      <x:c r="A48" s="16" t="str">
        <x:v>VENDOR_KYC</x:v>
      </x:c>
      <x:c r="B48" s="16" t="str">
        <x:v>Dependencies</x:v>
      </x:c>
      <x:c r="C48" s="16" t="str">
        <x:v>Separates external systems, licenses, permissions, and team dependencies from assumptions.</x:v>
      </x:c>
      <x:c r="D48" s="16" t="str">
        <x:v>P1</x:v>
      </x:c>
      <x:c r="E48" s="16" t="str">
        <x:v>dependencies are actionable</x:v>
      </x:c>
    </x:row>
    <x:row r="49">
      <x:c r="A49" s="16" t="str">
        <x:v>VENDOR_KYC</x:v>
      </x:c>
      <x:c r="B49" s="16" t="str">
        <x:v>Assumptions</x:v>
      </x:c>
      <x:c r="C49" s="16" t="str">
        <x:v>Only includes unconfirmed details as assumptions; does not hide decisions in assumptions.</x:v>
      </x:c>
      <x:c r="D49" s="16" t="str">
        <x:v>P0</x:v>
      </x:c>
      <x:c r="E49" s="16" t="str">
        <x:v>unanswered requirements are not stated as facts</x:v>
      </x:c>
    </x:row>
    <x:row r="50">
      <x:c r="A50" s="16" t="str">
        <x:v>VENDOR_KYC</x:v>
      </x:c>
      <x:c r="B50" s="16" t="str">
        <x:v>Open Items</x:v>
      </x:c>
      <x:c r="C50" s="16" t="str">
        <x:v>Includes unresolved PO decisions and removes them only when answered later.</x:v>
      </x:c>
      <x:c r="D50" s="16" t="str">
        <x:v>P0</x:v>
      </x:c>
      <x:c r="E50" s="16" t="str">
        <x:v>open item count matches missing slots</x:v>
      </x:c>
    </x:row>
    <x:row r="51">
      <x:c r="A51" s="16" t="str">
        <x:v>VENDOR_KYC</x:v>
      </x:c>
      <x:c r="B51" s="16" t="str">
        <x:v>Out of Scope</x:v>
      </x:c>
      <x:c r="C51" s="16" t="str">
        <x:v>Explicitly excludes plausible but unrequested features such as advanced analytics, SMS, NLP, or historical migration unless PO asks.</x:v>
      </x:c>
      <x:c r="D51" s="16" t="str">
        <x:v>P1</x:v>
      </x:c>
      <x:c r="E51" s="16" t="str">
        <x:v>not over-scoped</x:v>
      </x:c>
    </x:row>
    <x:row r="52">
      <x:c r="A52" s="16" t="str">
        <x:v>VENDOR_KYC</x:v>
      </x:c>
      <x:c r="B52" s="16" t="str">
        <x:v>Definition of Done</x:v>
      </x:c>
      <x:c r="C52" s="16" t="str">
        <x:v>Includes configuration/deployment, test execution, team access, monitoring, and documentation where applicable.</x:v>
      </x:c>
      <x:c r="D52" s="16" t="str">
        <x:v>P1</x:v>
      </x:c>
      <x:c r="E52" s="16" t="str">
        <x:v>DoD is verifiable</x:v>
      </x:c>
    </x:row>
    <x:row r="53">
      <x:c r="A53" s="16" t="str">
        <x:v>VENDOR_KYC</x:v>
      </x:c>
      <x:c r="B53" s="16" t="str">
        <x:v>Risks</x:v>
      </x:c>
      <x:c r="C53" s="16" t="str">
        <x:v>Risks have severity and mitigation; includes integration failure, false positives, permissions, and sensitive data where applicable.</x:v>
      </x:c>
      <x:c r="D53" s="16" t="str">
        <x:v>P1</x:v>
      </x:c>
      <x:c r="E53" s="16" t="str">
        <x:v>each risk has mitigation</x:v>
      </x:c>
    </x:row>
    <x:row r="54">
      <x:c r="A54" s="16" t="str">
        <x:v>VENDOR_KYC</x:v>
      </x:c>
      <x:c r="B54" s="16" t="str">
        <x:v>Test Scenarios</x:v>
      </x:c>
      <x:c r="C54" s="16" t="str">
        <x:v>Includes valid, missing-data, non-trigger, duplicate/false-positive, notification, and failure scenarios as applicable.</x:v>
      </x:c>
      <x:c r="D54" s="16" t="str">
        <x:v>P0</x:v>
      </x:c>
      <x:c r="E54" s="16" t="str">
        <x:v>scenario-specific negative tests exist</x:v>
      </x:c>
    </x:row>
    <x:row r="55">
      <x:c r="A55" s="16" t="str">
        <x:v>VENDOR_KYC</x:v>
      </x:c>
      <x:c r="B55" s="16" t="str">
        <x:v>Readiness</x:v>
      </x:c>
      <x:c r="C55" s="16" t="str">
        <x:v>Readiness status matches remaining open items; partial answers should not produce Ready for grooming = Yes.</x:v>
      </x:c>
      <x:c r="D55" s="16" t="str">
        <x:v>P0</x:v>
      </x:c>
      <x:c r="E55" s="16" t="str">
        <x:v>readiness is consistent with gaps</x:v>
      </x:c>
    </x:row>
    <x:row r="56">
      <x:c r="A56" s="16" t="str">
        <x:v>VENDOR_KYC</x:v>
      </x:c>
      <x:c r="B56" s="16" t="str">
        <x:v>Acceptance Criteria</x:v>
      </x:c>
      <x:c r="C56" s="16" t="str">
        <x:v>Vendor Onboarding record cannot reach Approved until required documents and approvals are complete.</x:v>
      </x:c>
      <x:c r="D56" s="16" t="str">
        <x:v>P0</x:v>
      </x:c>
      <x:c r="E56" s="16" t="str">
        <x:v>approval gate</x:v>
      </x:c>
    </x:row>
    <x:row r="57">
      <x:c r="A57" s="16" t="str">
        <x:v>VENDOR_KYC</x:v>
      </x:c>
      <x:c r="B57" s="16" t="str">
        <x:v>Acceptance Criteria</x:v>
      </x:c>
      <x:c r="C57" s="16" t="str">
        <x:v>Document requirements vary by domestic versus international vendor.</x:v>
      </x:c>
      <x:c r="D57" s="16" t="str">
        <x:v>P0</x:v>
      </x:c>
      <x:c r="E57" s="16" t="str">
        <x:v>dynamic checklist</x:v>
      </x:c>
    </x:row>
    <x:row r="58">
      <x:c r="A58" s="16" t="str">
        <x:v>VENDOR_KYC</x:v>
      </x:c>
      <x:c r="B58" s="16" t="str">
        <x:v>Acceptance Criteria</x:v>
      </x:c>
      <x:c r="C58" s="16" t="str">
        <x:v>Rejected documents include reason and resubmission instructions.</x:v>
      </x:c>
      <x:c r="D58" s="16" t="str">
        <x:v>P1</x:v>
      </x:c>
      <x:c r="E58" s="16" t="str">
        <x:v>rejection loop</x:v>
      </x:c>
    </x:row>
    <x:row r="59">
      <x:c r="A59" s="16" t="str">
        <x:v>VENDOR_KYC</x:v>
      </x:c>
      <x:c r="B59" s="16" t="str">
        <x:v>Risks</x:v>
      </x:c>
      <x:c r="C59" s="16" t="str">
        <x:v>Includes sensitive bank data exposure and ERP creation before approval.</x:v>
      </x:c>
      <x:c r="D59" s="16" t="str">
        <x:v>P0</x:v>
      </x:c>
      <x:c r="E59" s="16" t="str">
        <x:v>security and process risks</x:v>
      </x:c>
    </x:row>
    <x:row r="60">
      <x:c r="A60" s="16" t="str">
        <x:v>IOT_OUTAGE</x:v>
      </x:c>
      <x:c r="B60" s="16" t="str">
        <x:v>Summary</x:v>
      </x:c>
      <x:c r="C60" s="16" t="str">
        <x:v>Summarizes the automation, affected team, trigger, target system, and business benefit in 2-4 sentences.</x:v>
      </x:c>
      <x:c r="D60" s="16" t="str">
        <x:v>P1</x:v>
      </x:c>
      <x:c r="E60" s="16" t="str">
        <x:v>contains trigger + owner + destination + outcome</x:v>
      </x:c>
    </x:row>
    <x:row r="61">
      <x:c r="A61" s="16" t="str">
        <x:v>IOT_OUTAGE</x:v>
      </x:c>
      <x:c r="B61" s="16" t="str">
        <x:v>User Story</x:v>
      </x:c>
      <x:c r="C61" s="16" t="str">
        <x:v>Uses As a / I want / So that format and names the actual persona, not a generic user.</x:v>
      </x:c>
      <x:c r="D61" s="16" t="str">
        <x:v>P0</x:v>
      </x:c>
      <x:c r="E61" s="16" t="str">
        <x:v>regex-like section check; persona matches scenario owner</x:v>
      </x:c>
    </x:row>
    <x:row r="62">
      <x:c r="A62" s="16" t="str">
        <x:v>IOT_OUTAGE</x:v>
      </x:c>
      <x:c r="B62" s="16" t="str">
        <x:v>Background</x:v>
      </x:c>
      <x:c r="C62" s="16" t="str">
        <x:v>Explains current pain and why automation is needed without adding unprovided scope.</x:v>
      </x:c>
      <x:c r="D62" s="16" t="str">
        <x:v>P1</x:v>
      </x:c>
      <x:c r="E62" s="16" t="str">
        <x:v>human/LLM rubric</x:v>
      </x:c>
    </x:row>
    <x:row r="63">
      <x:c r="A63" s="16" t="str">
        <x:v>IOT_OUTAGE</x:v>
      </x:c>
      <x:c r="B63" s="16" t="str">
        <x:v>Acceptance Criteria</x:v>
      </x:c>
      <x:c r="C63" s="16" t="str">
        <x:v>Acceptance criteria use Given/When/Then, are testable, and include positive and negative/edge scenarios.</x:v>
      </x:c>
      <x:c r="D63" s="16" t="str">
        <x:v>P0</x:v>
      </x:c>
      <x:c r="E63" s="16" t="str">
        <x:v>all ACs have observable outcome</x:v>
      </x:c>
    </x:row>
    <x:row r="64">
      <x:c r="A64" s="16" t="str">
        <x:v>IOT_OUTAGE</x:v>
      </x:c>
      <x:c r="B64" s="16" t="str">
        <x:v>Technical Implementation</x:v>
      </x:c>
      <x:c r="C64" s="16" t="str">
        <x:v>Implementation is framed as proposed/configuration detail and does not contradict PO answers.</x:v>
      </x:c>
      <x:c r="D64" s="16" t="str">
        <x:v>P0</x:v>
      </x:c>
      <x:c r="E64" s="16" t="str">
        <x:v>trace each technical claim to input, answer, or assumption</x:v>
      </x:c>
    </x:row>
    <x:row r="65">
      <x:c r="A65" s="16" t="str">
        <x:v>IOT_OUTAGE</x:v>
      </x:c>
      <x:c r="B65" s="16" t="str">
        <x:v>Data Fields</x:v>
      </x:c>
      <x:c r="C65" s="16" t="str">
        <x:v>Lists key fields, purpose, type, and object/work item where relevant.</x:v>
      </x:c>
      <x:c r="D65" s="16" t="str">
        <x:v>P1</x:v>
      </x:c>
      <x:c r="E65" s="16" t="str">
        <x:v>field list exists and aligns to ACs</x:v>
      </x:c>
    </x:row>
    <x:row r="66">
      <x:c r="A66" s="16" t="str">
        <x:v>IOT_OUTAGE</x:v>
      </x:c>
      <x:c r="B66" s="16" t="str">
        <x:v>Dependencies</x:v>
      </x:c>
      <x:c r="C66" s="16" t="str">
        <x:v>Separates external systems, licenses, permissions, and team dependencies from assumptions.</x:v>
      </x:c>
      <x:c r="D66" s="16" t="str">
        <x:v>P1</x:v>
      </x:c>
      <x:c r="E66" s="16" t="str">
        <x:v>dependencies are actionable</x:v>
      </x:c>
    </x:row>
    <x:row r="67">
      <x:c r="A67" s="16" t="str">
        <x:v>IOT_OUTAGE</x:v>
      </x:c>
      <x:c r="B67" s="16" t="str">
        <x:v>Assumptions</x:v>
      </x:c>
      <x:c r="C67" s="16" t="str">
        <x:v>Only includes unconfirmed details as assumptions; does not hide decisions in assumptions.</x:v>
      </x:c>
      <x:c r="D67" s="16" t="str">
        <x:v>P0</x:v>
      </x:c>
      <x:c r="E67" s="16" t="str">
        <x:v>unanswered requirements are not stated as facts</x:v>
      </x:c>
    </x:row>
    <x:row r="68">
      <x:c r="A68" s="16" t="str">
        <x:v>IOT_OUTAGE</x:v>
      </x:c>
      <x:c r="B68" s="16" t="str">
        <x:v>Open Items</x:v>
      </x:c>
      <x:c r="C68" s="16" t="str">
        <x:v>Includes unresolved PO decisions and removes them only when answered later.</x:v>
      </x:c>
      <x:c r="D68" s="16" t="str">
        <x:v>P0</x:v>
      </x:c>
      <x:c r="E68" s="16" t="str">
        <x:v>open item count matches missing slots</x:v>
      </x:c>
    </x:row>
    <x:row r="69">
      <x:c r="A69" s="16" t="str">
        <x:v>IOT_OUTAGE</x:v>
      </x:c>
      <x:c r="B69" s="16" t="str">
        <x:v>Out of Scope</x:v>
      </x:c>
      <x:c r="C69" s="16" t="str">
        <x:v>Explicitly excludes plausible but unrequested features such as advanced analytics, SMS, NLP, or historical migration unless PO asks.</x:v>
      </x:c>
      <x:c r="D69" s="16" t="str">
        <x:v>P1</x:v>
      </x:c>
      <x:c r="E69" s="16" t="str">
        <x:v>not over-scoped</x:v>
      </x:c>
    </x:row>
    <x:row r="70">
      <x:c r="A70" s="16" t="str">
        <x:v>IOT_OUTAGE</x:v>
      </x:c>
      <x:c r="B70" s="16" t="str">
        <x:v>Definition of Done</x:v>
      </x:c>
      <x:c r="C70" s="16" t="str">
        <x:v>Includes configuration/deployment, test execution, team access, monitoring, and documentation where applicable.</x:v>
      </x:c>
      <x:c r="D70" s="16" t="str">
        <x:v>P1</x:v>
      </x:c>
      <x:c r="E70" s="16" t="str">
        <x:v>DoD is verifiable</x:v>
      </x:c>
    </x:row>
    <x:row r="71">
      <x:c r="A71" s="16" t="str">
        <x:v>IOT_OUTAGE</x:v>
      </x:c>
      <x:c r="B71" s="16" t="str">
        <x:v>Risks</x:v>
      </x:c>
      <x:c r="C71" s="16" t="str">
        <x:v>Risks have severity and mitigation; includes integration failure, false positives, permissions, and sensitive data where applicable.</x:v>
      </x:c>
      <x:c r="D71" s="16" t="str">
        <x:v>P1</x:v>
      </x:c>
      <x:c r="E71" s="16" t="str">
        <x:v>each risk has mitigation</x:v>
      </x:c>
    </x:row>
    <x:row r="72">
      <x:c r="A72" s="16" t="str">
        <x:v>IOT_OUTAGE</x:v>
      </x:c>
      <x:c r="B72" s="16" t="str">
        <x:v>Test Scenarios</x:v>
      </x:c>
      <x:c r="C72" s="16" t="str">
        <x:v>Includes valid, missing-data, non-trigger, duplicate/false-positive, notification, and failure scenarios as applicable.</x:v>
      </x:c>
      <x:c r="D72" s="16" t="str">
        <x:v>P0</x:v>
      </x:c>
      <x:c r="E72" s="16" t="str">
        <x:v>scenario-specific negative tests exist</x:v>
      </x:c>
    </x:row>
    <x:row r="73">
      <x:c r="A73" s="16" t="str">
        <x:v>IOT_OUTAGE</x:v>
      </x:c>
      <x:c r="B73" s="16" t="str">
        <x:v>Readiness</x:v>
      </x:c>
      <x:c r="C73" s="16" t="str">
        <x:v>Readiness status matches remaining open items; partial answers should not produce Ready for grooming = Yes.</x:v>
      </x:c>
      <x:c r="D73" s="16" t="str">
        <x:v>P0</x:v>
      </x:c>
      <x:c r="E73" s="16" t="str">
        <x:v>readiness is consistent with gaps</x:v>
      </x:c>
    </x:row>
    <x:row r="74">
      <x:c r="A74" s="16" t="str">
        <x:v>IOT_OUTAGE</x:v>
      </x:c>
      <x:c r="B74" s="16" t="str">
        <x:v>Acceptance Criteria</x:v>
      </x:c>
      <x:c r="C74" s="16" t="str">
        <x:v>Incident only created after offline threshold is exceeded and maintenance suppression does not apply.</x:v>
      </x:c>
      <x:c r="D74" s="16" t="str">
        <x:v>P0</x:v>
      </x:c>
      <x:c r="E74" s="16" t="str">
        <x:v>threshold + suppression</x:v>
      </x:c>
    </x:row>
    <x:row r="75">
      <x:c r="A75" s="16" t="str">
        <x:v>IOT_OUTAGE</x:v>
      </x:c>
      <x:c r="B75" s="16" t="str">
        <x:v>Acceptance Criteria</x:v>
      </x:c>
      <x:c r="C75" s="16" t="str">
        <x:v>Duplicate alerts do not create multiple open incidents for same gateway.</x:v>
      </x:c>
      <x:c r="D75" s="16" t="str">
        <x:v>P0</x:v>
      </x:c>
      <x:c r="E75" s="16" t="str">
        <x:v>dedupe rule</x:v>
      </x:c>
    </x:row>
    <x:row r="76">
      <x:c r="A76" s="16" t="str">
        <x:v>IOT_OUTAGE</x:v>
      </x:c>
      <x:c r="B76" s="16" t="str">
        <x:v>Acceptance Criteria</x:v>
      </x:c>
      <x:c r="C76" s="16" t="str">
        <x:v>Regional routing uses site region and handles unknown region fallback.</x:v>
      </x:c>
      <x:c r="D76" s="16" t="str">
        <x:v>P1</x:v>
      </x:c>
      <x:c r="E76" s="16" t="str">
        <x:v>routing fallback</x:v>
      </x:c>
    </x:row>
    <x:row r="77">
      <x:c r="A77" s="16" t="str">
        <x:v>IOT_OUTAGE</x:v>
      </x:c>
      <x:c r="B77" s="16" t="str">
        <x:v>Acceptance Criteria</x:v>
      </x:c>
      <x:c r="C77" s="16" t="str">
        <x:v>Recovery alert adds note and Pending Review rather than auto-closing.</x:v>
      </x:c>
      <x:c r="D77" s="16" t="str">
        <x:v>P1</x:v>
      </x:c>
      <x:c r="E77" s="16" t="str">
        <x:v>recovery behavior</x:v>
      </x:c>
    </x:row>
    <x:row r="78">
      <x:c r="A78" s="16" t="str">
        <x:v>IOT_OUTAGE</x:v>
      </x:c>
      <x:c r="B78" s="16" t="str">
        <x:v>Risks</x:v>
      </x:c>
      <x:c r="C78" s="16" t="str">
        <x:v>Includes alert storms, stale region mapping, and maintenance calendar failure.</x:v>
      </x:c>
      <x:c r="D78" s="16" t="str">
        <x:v>P1</x:v>
      </x:c>
      <x:c r="E78" s="16" t="str">
        <x:v>operational risks</x:v>
      </x:c>
    </x:row>
    <x:row r="79">
      <x:c r="A79" s="16" t="str">
        <x:v>BILLING_DUNNING</x:v>
      </x:c>
      <x:c r="B79" s="16" t="str">
        <x:v>Summary</x:v>
      </x:c>
      <x:c r="C79" s="16" t="str">
        <x:v>Summarizes the automation, affected team, trigger, target system, and business benefit in 2-4 sentences.</x:v>
      </x:c>
      <x:c r="D79" s="16" t="str">
        <x:v>P1</x:v>
      </x:c>
      <x:c r="E79" s="16" t="str">
        <x:v>contains trigger + owner + destination + outcome</x:v>
      </x:c>
    </x:row>
    <x:row r="80">
      <x:c r="A80" s="16" t="str">
        <x:v>BILLING_DUNNING</x:v>
      </x:c>
      <x:c r="B80" s="16" t="str">
        <x:v>User Story</x:v>
      </x:c>
      <x:c r="C80" s="16" t="str">
        <x:v>Uses As a / I want / So that format and names the actual persona, not a generic user.</x:v>
      </x:c>
      <x:c r="D80" s="16" t="str">
        <x:v>P0</x:v>
      </x:c>
      <x:c r="E80" s="16" t="str">
        <x:v>regex-like section check; persona matches scenario owner</x:v>
      </x:c>
    </x:row>
    <x:row r="81">
      <x:c r="A81" s="16" t="str">
        <x:v>BILLING_DUNNING</x:v>
      </x:c>
      <x:c r="B81" s="16" t="str">
        <x:v>Background</x:v>
      </x:c>
      <x:c r="C81" s="16" t="str">
        <x:v>Explains current pain and why automation is needed without adding unprovided scope.</x:v>
      </x:c>
      <x:c r="D81" s="16" t="str">
        <x:v>P1</x:v>
      </x:c>
      <x:c r="E81" s="16" t="str">
        <x:v>human/LLM rubric</x:v>
      </x:c>
    </x:row>
    <x:row r="82">
      <x:c r="A82" s="16" t="str">
        <x:v>BILLING_DUNNING</x:v>
      </x:c>
      <x:c r="B82" s="16" t="str">
        <x:v>Acceptance Criteria</x:v>
      </x:c>
      <x:c r="C82" s="16" t="str">
        <x:v>Acceptance criteria use Given/When/Then, are testable, and include positive and negative/edge scenarios.</x:v>
      </x:c>
      <x:c r="D82" s="16" t="str">
        <x:v>P0</x:v>
      </x:c>
      <x:c r="E82" s="16" t="str">
        <x:v>all ACs have observable outcome</x:v>
      </x:c>
    </x:row>
    <x:row r="83">
      <x:c r="A83" s="16" t="str">
        <x:v>BILLING_DUNNING</x:v>
      </x:c>
      <x:c r="B83" s="16" t="str">
        <x:v>Technical Implementation</x:v>
      </x:c>
      <x:c r="C83" s="16" t="str">
        <x:v>Implementation is framed as proposed/configuration detail and does not contradict PO answers.</x:v>
      </x:c>
      <x:c r="D83" s="16" t="str">
        <x:v>P0</x:v>
      </x:c>
      <x:c r="E83" s="16" t="str">
        <x:v>trace each technical claim to input, answer, or assumption</x:v>
      </x:c>
    </x:row>
    <x:row r="84">
      <x:c r="A84" s="16" t="str">
        <x:v>BILLING_DUNNING</x:v>
      </x:c>
      <x:c r="B84" s="16" t="str">
        <x:v>Data Fields</x:v>
      </x:c>
      <x:c r="C84" s="16" t="str">
        <x:v>Lists key fields, purpose, type, and object/work item where relevant.</x:v>
      </x:c>
      <x:c r="D84" s="16" t="str">
        <x:v>P1</x:v>
      </x:c>
      <x:c r="E84" s="16" t="str">
        <x:v>field list exists and aligns to ACs</x:v>
      </x:c>
    </x:row>
    <x:row r="85">
      <x:c r="A85" s="16" t="str">
        <x:v>BILLING_DUNNING</x:v>
      </x:c>
      <x:c r="B85" s="16" t="str">
        <x:v>Dependencies</x:v>
      </x:c>
      <x:c r="C85" s="16" t="str">
        <x:v>Separates external systems, licenses, permissions, and team dependencies from assumptions.</x:v>
      </x:c>
      <x:c r="D85" s="16" t="str">
        <x:v>P1</x:v>
      </x:c>
      <x:c r="E85" s="16" t="str">
        <x:v>dependencies are actionable</x:v>
      </x:c>
    </x:row>
    <x:row r="86">
      <x:c r="A86" s="16" t="str">
        <x:v>BILLING_DUNNING</x:v>
      </x:c>
      <x:c r="B86" s="16" t="str">
        <x:v>Assumptions</x:v>
      </x:c>
      <x:c r="C86" s="16" t="str">
        <x:v>Only includes unconfirmed details as assumptions; does not hide decisions in assumptions.</x:v>
      </x:c>
      <x:c r="D86" s="16" t="str">
        <x:v>P0</x:v>
      </x:c>
      <x:c r="E86" s="16" t="str">
        <x:v>unanswered requirements are not stated as facts</x:v>
      </x:c>
    </x:row>
    <x:row r="87">
      <x:c r="A87" s="16" t="str">
        <x:v>BILLING_DUNNING</x:v>
      </x:c>
      <x:c r="B87" s="16" t="str">
        <x:v>Open Items</x:v>
      </x:c>
      <x:c r="C87" s="16" t="str">
        <x:v>Includes unresolved PO decisions and removes them only when answered later.</x:v>
      </x:c>
      <x:c r="D87" s="16" t="str">
        <x:v>P0</x:v>
      </x:c>
      <x:c r="E87" s="16" t="str">
        <x:v>open item count matches missing slots</x:v>
      </x:c>
    </x:row>
    <x:row r="88">
      <x:c r="A88" s="16" t="str">
        <x:v>BILLING_DUNNING</x:v>
      </x:c>
      <x:c r="B88" s="16" t="str">
        <x:v>Out of Scope</x:v>
      </x:c>
      <x:c r="C88" s="16" t="str">
        <x:v>Explicitly excludes plausible but unrequested features such as advanced analytics, SMS, NLP, or historical migration unless PO asks.</x:v>
      </x:c>
      <x:c r="D88" s="16" t="str">
        <x:v>P1</x:v>
      </x:c>
      <x:c r="E88" s="16" t="str">
        <x:v>not over-scoped</x:v>
      </x:c>
    </x:row>
    <x:row r="89">
      <x:c r="A89" s="16" t="str">
        <x:v>BILLING_DUNNING</x:v>
      </x:c>
      <x:c r="B89" s="16" t="str">
        <x:v>Definition of Done</x:v>
      </x:c>
      <x:c r="C89" s="16" t="str">
        <x:v>Includes configuration/deployment, test execution, team access, monitoring, and documentation where applicable.</x:v>
      </x:c>
      <x:c r="D89" s="16" t="str">
        <x:v>P1</x:v>
      </x:c>
      <x:c r="E89" s="16" t="str">
        <x:v>DoD is verifiable</x:v>
      </x:c>
    </x:row>
    <x:row r="90">
      <x:c r="A90" s="16" t="str">
        <x:v>BILLING_DUNNING</x:v>
      </x:c>
      <x:c r="B90" s="16" t="str">
        <x:v>Risks</x:v>
      </x:c>
      <x:c r="C90" s="16" t="str">
        <x:v>Risks have severity and mitigation; includes integration failure, false positives, permissions, and sensitive data where applicable.</x:v>
      </x:c>
      <x:c r="D90" s="16" t="str">
        <x:v>P1</x:v>
      </x:c>
      <x:c r="E90" s="16" t="str">
        <x:v>each risk has mitigation</x:v>
      </x:c>
    </x:row>
    <x:row r="91">
      <x:c r="A91" s="16" t="str">
        <x:v>BILLING_DUNNING</x:v>
      </x:c>
      <x:c r="B91" s="16" t="str">
        <x:v>Test Scenarios</x:v>
      </x:c>
      <x:c r="C91" s="16" t="str">
        <x:v>Includes valid, missing-data, non-trigger, duplicate/false-positive, notification, and failure scenarios as applicable.</x:v>
      </x:c>
      <x:c r="D91" s="16" t="str">
        <x:v>P0</x:v>
      </x:c>
      <x:c r="E91" s="16" t="str">
        <x:v>scenario-specific negative tests exist</x:v>
      </x:c>
    </x:row>
    <x:row r="92">
      <x:c r="A92" s="16" t="str">
        <x:v>BILLING_DUNNING</x:v>
      </x:c>
      <x:c r="B92" s="16" t="str">
        <x:v>Readiness</x:v>
      </x:c>
      <x:c r="C92" s="16" t="str">
        <x:v>Readiness status matches remaining open items; partial answers should not produce Ready for grooming = Yes.</x:v>
      </x:c>
      <x:c r="D92" s="16" t="str">
        <x:v>P0</x:v>
      </x:c>
      <x:c r="E92" s="16" t="str">
        <x:v>readiness is consistent with gaps</x:v>
      </x:c>
    </x:row>
    <x:row r="93">
      <x:c r="A93" s="16" t="str">
        <x:v>BILLING_DUNNING</x:v>
      </x:c>
      <x:c r="B93" s="16" t="str">
        <x:v>Acceptance Criteria</x:v>
      </x:c>
      <x:c r="C93" s="16" t="str">
        <x:v>Workflow respects retry schedule and different routing for enterprise versus SMB.</x:v>
      </x:c>
      <x:c r="D93" s="16" t="str">
        <x:v>P0</x:v>
      </x:c>
      <x:c r="E93" s="16" t="str">
        <x:v>retry + segmentation</x:v>
      </x:c>
    </x:row>
    <x:row r="94">
      <x:c r="A94" s="16" t="str">
        <x:v>BILLING_DUNNING</x:v>
      </x:c>
      <x:c r="B94" s="16" t="str">
        <x:v>Acceptance Criteria</x:v>
      </x:c>
      <x:c r="C94" s="16" t="str">
        <x:v>Customer notices include approved channels and timing only.</x:v>
      </x:c>
      <x:c r="D94" s="16" t="str">
        <x:v>P1</x:v>
      </x:c>
      <x:c r="E94" s="16" t="str">
        <x:v>no unsupported SMS</x:v>
      </x:c>
    </x:row>
    <x:row r="95">
      <x:c r="A95" s="16" t="str">
        <x:v>BILLING_DUNNING</x:v>
      </x:c>
      <x:c r="B95" s="16" t="str">
        <x:v>Risks</x:v>
      </x:c>
      <x:c r="C95" s="16" t="str">
        <x:v>Includes exposing payment data and contacting customers with disputed invoices.</x:v>
      </x:c>
      <x:c r="D95" s="16" t="str">
        <x:v>P0</x:v>
      </x:c>
      <x:c r="E95" s="16" t="str">
        <x:v>compliance/business risk</x:v>
      </x:c>
    </x:row>
    <x:row r="96">
      <x:c r="A96" s="16" t="str">
        <x:v>GDPR_DSR</x:v>
      </x:c>
      <x:c r="B96" s="16" t="str">
        <x:v>Summary</x:v>
      </x:c>
      <x:c r="C96" s="16" t="str">
        <x:v>Summarizes the automation, affected team, trigger, target system, and business benefit in 2-4 sentences.</x:v>
      </x:c>
      <x:c r="D96" s="16" t="str">
        <x:v>P1</x:v>
      </x:c>
      <x:c r="E96" s="16" t="str">
        <x:v>contains trigger + owner + destination + outcome</x:v>
      </x:c>
    </x:row>
    <x:row r="97">
      <x:c r="A97" s="16" t="str">
        <x:v>GDPR_DSR</x:v>
      </x:c>
      <x:c r="B97" s="16" t="str">
        <x:v>User Story</x:v>
      </x:c>
      <x:c r="C97" s="16" t="str">
        <x:v>Uses As a / I want / So that format and names the actual persona, not a generic user.</x:v>
      </x:c>
      <x:c r="D97" s="16" t="str">
        <x:v>P0</x:v>
      </x:c>
      <x:c r="E97" s="16" t="str">
        <x:v>regex-like section check; persona matches scenario owner</x:v>
      </x:c>
    </x:row>
    <x:row r="98">
      <x:c r="A98" s="16" t="str">
        <x:v>GDPR_DSR</x:v>
      </x:c>
      <x:c r="B98" s="16" t="str">
        <x:v>Background</x:v>
      </x:c>
      <x:c r="C98" s="16" t="str">
        <x:v>Explains current pain and why automation is needed without adding unprovided scope.</x:v>
      </x:c>
      <x:c r="D98" s="16" t="str">
        <x:v>P1</x:v>
      </x:c>
      <x:c r="E98" s="16" t="str">
        <x:v>human/LLM rubric</x:v>
      </x:c>
    </x:row>
    <x:row r="99">
      <x:c r="A99" s="16" t="str">
        <x:v>GDPR_DSR</x:v>
      </x:c>
      <x:c r="B99" s="16" t="str">
        <x:v>Acceptance Criteria</x:v>
      </x:c>
      <x:c r="C99" s="16" t="str">
        <x:v>Acceptance criteria use Given/When/Then, are testable, and include positive and negative/edge scenarios.</x:v>
      </x:c>
      <x:c r="D99" s="16" t="str">
        <x:v>P0</x:v>
      </x:c>
      <x:c r="E99" s="16" t="str">
        <x:v>all ACs have observable outcome</x:v>
      </x:c>
    </x:row>
    <x:row r="100">
      <x:c r="A100" s="16" t="str">
        <x:v>GDPR_DSR</x:v>
      </x:c>
      <x:c r="B100" s="16" t="str">
        <x:v>Technical Implementation</x:v>
      </x:c>
      <x:c r="C100" s="16" t="str">
        <x:v>Implementation is framed as proposed/configuration detail and does not contradict PO answers.</x:v>
      </x:c>
      <x:c r="D100" s="16" t="str">
        <x:v>P0</x:v>
      </x:c>
      <x:c r="E100" s="16" t="str">
        <x:v>trace each technical claim to input, answer, or assumption</x:v>
      </x:c>
    </x:row>
    <x:row r="101">
      <x:c r="A101" s="16" t="str">
        <x:v>GDPR_DSR</x:v>
      </x:c>
      <x:c r="B101" s="16" t="str">
        <x:v>Data Fields</x:v>
      </x:c>
      <x:c r="C101" s="16" t="str">
        <x:v>Lists key fields, purpose, type, and object/work item where relevant.</x:v>
      </x:c>
      <x:c r="D101" s="16" t="str">
        <x:v>P1</x:v>
      </x:c>
      <x:c r="E101" s="16" t="str">
        <x:v>field list exists and aligns to ACs</x:v>
      </x:c>
    </x:row>
    <x:row r="102">
      <x:c r="A102" s="16" t="str">
        <x:v>GDPR_DSR</x:v>
      </x:c>
      <x:c r="B102" s="16" t="str">
        <x:v>Dependencies</x:v>
      </x:c>
      <x:c r="C102" s="16" t="str">
        <x:v>Separates external systems, licenses, permissions, and team dependencies from assumptions.</x:v>
      </x:c>
      <x:c r="D102" s="16" t="str">
        <x:v>P1</x:v>
      </x:c>
      <x:c r="E102" s="16" t="str">
        <x:v>dependencies are actionable</x:v>
      </x:c>
    </x:row>
    <x:row r="103">
      <x:c r="A103" s="16" t="str">
        <x:v>GDPR_DSR</x:v>
      </x:c>
      <x:c r="B103" s="16" t="str">
        <x:v>Assumptions</x:v>
      </x:c>
      <x:c r="C103" s="16" t="str">
        <x:v>Only includes unconfirmed details as assumptions; does not hide decisions in assumptions.</x:v>
      </x:c>
      <x:c r="D103" s="16" t="str">
        <x:v>P0</x:v>
      </x:c>
      <x:c r="E103" s="16" t="str">
        <x:v>unanswered requirements are not stated as facts</x:v>
      </x:c>
    </x:row>
    <x:row r="104">
      <x:c r="A104" s="16" t="str">
        <x:v>GDPR_DSR</x:v>
      </x:c>
      <x:c r="B104" s="16" t="str">
        <x:v>Open Items</x:v>
      </x:c>
      <x:c r="C104" s="16" t="str">
        <x:v>Includes unresolved PO decisions and removes them only when answered later.</x:v>
      </x:c>
      <x:c r="D104" s="16" t="str">
        <x:v>P0</x:v>
      </x:c>
      <x:c r="E104" s="16" t="str">
        <x:v>open item count matches missing slots</x:v>
      </x:c>
    </x:row>
    <x:row r="105">
      <x:c r="A105" s="16" t="str">
        <x:v>GDPR_DSR</x:v>
      </x:c>
      <x:c r="B105" s="16" t="str">
        <x:v>Out of Scope</x:v>
      </x:c>
      <x:c r="C105" s="16" t="str">
        <x:v>Explicitly excludes plausible but unrequested features such as advanced analytics, SMS, NLP, or historical migration unless PO asks.</x:v>
      </x:c>
      <x:c r="D105" s="16" t="str">
        <x:v>P1</x:v>
      </x:c>
      <x:c r="E105" s="16" t="str">
        <x:v>not over-scoped</x:v>
      </x:c>
    </x:row>
    <x:row r="106">
      <x:c r="A106" s="16" t="str">
        <x:v>GDPR_DSR</x:v>
      </x:c>
      <x:c r="B106" s="16" t="str">
        <x:v>Definition of Done</x:v>
      </x:c>
      <x:c r="C106" s="16" t="str">
        <x:v>Includes configuration/deployment, test execution, team access, monitoring, and documentation where applicable.</x:v>
      </x:c>
      <x:c r="D106" s="16" t="str">
        <x:v>P1</x:v>
      </x:c>
      <x:c r="E106" s="16" t="str">
        <x:v>DoD is verifiable</x:v>
      </x:c>
    </x:row>
    <x:row r="107">
      <x:c r="A107" s="16" t="str">
        <x:v>GDPR_DSR</x:v>
      </x:c>
      <x:c r="B107" s="16" t="str">
        <x:v>Risks</x:v>
      </x:c>
      <x:c r="C107" s="16" t="str">
        <x:v>Risks have severity and mitigation; includes integration failure, false positives, permissions, and sensitive data where applicable.</x:v>
      </x:c>
      <x:c r="D107" s="16" t="str">
        <x:v>P1</x:v>
      </x:c>
      <x:c r="E107" s="16" t="str">
        <x:v>each risk has mitigation</x:v>
      </x:c>
    </x:row>
    <x:row r="108">
      <x:c r="A108" s="16" t="str">
        <x:v>GDPR_DSR</x:v>
      </x:c>
      <x:c r="B108" s="16" t="str">
        <x:v>Test Scenarios</x:v>
      </x:c>
      <x:c r="C108" s="16" t="str">
        <x:v>Includes valid, missing-data, non-trigger, duplicate/false-positive, notification, and failure scenarios as applicable.</x:v>
      </x:c>
      <x:c r="D108" s="16" t="str">
        <x:v>P0</x:v>
      </x:c>
      <x:c r="E108" s="16" t="str">
        <x:v>scenario-specific negative tests exist</x:v>
      </x:c>
    </x:row>
    <x:row r="109">
      <x:c r="A109" s="16" t="str">
        <x:v>GDPR_DSR</x:v>
      </x:c>
      <x:c r="B109" s="16" t="str">
        <x:v>Readiness</x:v>
      </x:c>
      <x:c r="C109" s="16" t="str">
        <x:v>Readiness status matches remaining open items; partial answers should not produce Ready for grooming = Yes.</x:v>
      </x:c>
      <x:c r="D109" s="16" t="str">
        <x:v>P0</x:v>
      </x:c>
      <x:c r="E109" s="16" t="str">
        <x:v>readiness is consistent with gaps</x:v>
      </x:c>
    </x:row>
    <x:row r="110">
      <x:c r="A110" s="16" t="str">
        <x:v>GDPR_DSR</x:v>
      </x:c>
      <x:c r="B110" s="16" t="str">
        <x:v>Acceptance Criteria</x:v>
      </x:c>
      <x:c r="C110" s="16" t="str">
        <x:v>Case is created immediately but processing remains blocked until identity verification.</x:v>
      </x:c>
      <x:c r="D110" s="16" t="str">
        <x:v>P0</x:v>
      </x:c>
      <x:c r="E110" s="16" t="str">
        <x:v>verification gate</x:v>
      </x:c>
    </x:row>
    <x:row r="111">
      <x:c r="A111" s="16" t="str">
        <x:v>GDPR_DSR</x:v>
      </x:c>
      <x:c r="B111" s="16" t="str">
        <x:v>Acceptance Criteria</x:v>
      </x:c>
      <x:c r="C111" s="16" t="str">
        <x:v>Due date is calculated from received timestamp and supports documented extension.</x:v>
      </x:c>
      <x:c r="D111" s="16" t="str">
        <x:v>P0</x:v>
      </x:c>
      <x:c r="E111" s="16" t="str">
        <x:v>deadline logic</x:v>
      </x:c>
    </x:row>
    <x:row r="112">
      <x:c r="A112" s="16" t="str">
        <x:v>GDPR_DSR</x:v>
      </x:c>
      <x:c r="B112" s="16" t="str">
        <x:v>Acceptance Criteria</x:v>
      </x:c>
      <x:c r="C112" s="16" t="str">
        <x:v>Deletion requires Legal review for active contract or legal hold.</x:v>
      </x:c>
      <x:c r="D112" s="16" t="str">
        <x:v>P0</x:v>
      </x:c>
      <x:c r="E112" s="16" t="str">
        <x:v>legal gate</x:v>
      </x:c>
    </x:row>
    <x:row r="113">
      <x:c r="A113" s="16" t="str">
        <x:v>GDPR_DSR</x:v>
      </x:c>
      <x:c r="B113" s="16" t="str">
        <x:v>Risks</x:v>
      </x:c>
      <x:c r="C113" s="16" t="str">
        <x:v>Includes missed statutory deadline, unauthorized access, and deletion under legal hold.</x:v>
      </x:c>
      <x:c r="D113" s="16" t="str">
        <x:v>P0</x:v>
      </x:c>
      <x:c r="E113" s="16" t="str">
        <x:v>compliance risks</x:v>
      </x:c>
    </x:row>
    <x:row r="114">
      <x:c r="A114" s="16" t="str">
        <x:v>FINANCE_ACCESS</x:v>
      </x:c>
      <x:c r="B114" s="16" t="str">
        <x:v>Summary</x:v>
      </x:c>
      <x:c r="C114" s="16" t="str">
        <x:v>Summarizes the automation, affected team, trigger, target system, and business benefit in 2-4 sentences.</x:v>
      </x:c>
      <x:c r="D114" s="16" t="str">
        <x:v>P1</x:v>
      </x:c>
      <x:c r="E114" s="16" t="str">
        <x:v>contains trigger + owner + destination + outcome</x:v>
      </x:c>
    </x:row>
    <x:row r="115">
      <x:c r="A115" s="16" t="str">
        <x:v>FINANCE_ACCESS</x:v>
      </x:c>
      <x:c r="B115" s="16" t="str">
        <x:v>User Story</x:v>
      </x:c>
      <x:c r="C115" s="16" t="str">
        <x:v>Uses As a / I want / So that format and names the actual persona, not a generic user.</x:v>
      </x:c>
      <x:c r="D115" s="16" t="str">
        <x:v>P0</x:v>
      </x:c>
      <x:c r="E115" s="16" t="str">
        <x:v>regex-like section check; persona matches scenario owner</x:v>
      </x:c>
    </x:row>
    <x:row r="116">
      <x:c r="A116" s="16" t="str">
        <x:v>FINANCE_ACCESS</x:v>
      </x:c>
      <x:c r="B116" s="16" t="str">
        <x:v>Background</x:v>
      </x:c>
      <x:c r="C116" s="16" t="str">
        <x:v>Explains current pain and why automation is needed without adding unprovided scope.</x:v>
      </x:c>
      <x:c r="D116" s="16" t="str">
        <x:v>P1</x:v>
      </x:c>
      <x:c r="E116" s="16" t="str">
        <x:v>human/LLM rubric</x:v>
      </x:c>
    </x:row>
    <x:row r="117">
      <x:c r="A117" s="16" t="str">
        <x:v>FINANCE_ACCESS</x:v>
      </x:c>
      <x:c r="B117" s="16" t="str">
        <x:v>Acceptance Criteria</x:v>
      </x:c>
      <x:c r="C117" s="16" t="str">
        <x:v>Acceptance criteria use Given/When/Then, are testable, and include positive and negative/edge scenarios.</x:v>
      </x:c>
      <x:c r="D117" s="16" t="str">
        <x:v>P0</x:v>
      </x:c>
      <x:c r="E117" s="16" t="str">
        <x:v>all ACs have observable outcome</x:v>
      </x:c>
    </x:row>
    <x:row r="118">
      <x:c r="A118" s="16" t="str">
        <x:v>FINANCE_ACCESS</x:v>
      </x:c>
      <x:c r="B118" s="16" t="str">
        <x:v>Technical Implementation</x:v>
      </x:c>
      <x:c r="C118" s="16" t="str">
        <x:v>Implementation is framed as proposed/configuration detail and does not contradict PO answers.</x:v>
      </x:c>
      <x:c r="D118" s="16" t="str">
        <x:v>P0</x:v>
      </x:c>
      <x:c r="E118" s="16" t="str">
        <x:v>trace each technical claim to input, answer, or assumption</x:v>
      </x:c>
    </x:row>
    <x:row r="119">
      <x:c r="A119" s="16" t="str">
        <x:v>FINANCE_ACCESS</x:v>
      </x:c>
      <x:c r="B119" s="16" t="str">
        <x:v>Data Fields</x:v>
      </x:c>
      <x:c r="C119" s="16" t="str">
        <x:v>Lists key fields, purpose, type, and object/work item where relevant.</x:v>
      </x:c>
      <x:c r="D119" s="16" t="str">
        <x:v>P1</x:v>
      </x:c>
      <x:c r="E119" s="16" t="str">
        <x:v>field list exists and aligns to ACs</x:v>
      </x:c>
    </x:row>
    <x:row r="120">
      <x:c r="A120" s="16" t="str">
        <x:v>FINANCE_ACCESS</x:v>
      </x:c>
      <x:c r="B120" s="16" t="str">
        <x:v>Dependencies</x:v>
      </x:c>
      <x:c r="C120" s="16" t="str">
        <x:v>Separates external systems, licenses, permissions, and team dependencies from assumptions.</x:v>
      </x:c>
      <x:c r="D120" s="16" t="str">
        <x:v>P1</x:v>
      </x:c>
      <x:c r="E120" s="16" t="str">
        <x:v>dependencies are actionable</x:v>
      </x:c>
    </x:row>
    <x:row r="121">
      <x:c r="A121" s="16" t="str">
        <x:v>FINANCE_ACCESS</x:v>
      </x:c>
      <x:c r="B121" s="16" t="str">
        <x:v>Assumptions</x:v>
      </x:c>
      <x:c r="C121" s="16" t="str">
        <x:v>Only includes unconfirmed details as assumptions; does not hide decisions in assumptions.</x:v>
      </x:c>
      <x:c r="D121" s="16" t="str">
        <x:v>P0</x:v>
      </x:c>
      <x:c r="E121" s="16" t="str">
        <x:v>unanswered requirements are not stated as facts</x:v>
      </x:c>
    </x:row>
    <x:row r="122">
      <x:c r="A122" s="16" t="str">
        <x:v>FINANCE_ACCESS</x:v>
      </x:c>
      <x:c r="B122" s="16" t="str">
        <x:v>Open Items</x:v>
      </x:c>
      <x:c r="C122" s="16" t="str">
        <x:v>Includes unresolved PO decisions and removes them only when answered later.</x:v>
      </x:c>
      <x:c r="D122" s="16" t="str">
        <x:v>P0</x:v>
      </x:c>
      <x:c r="E122" s="16" t="str">
        <x:v>open item count matches missing slots</x:v>
      </x:c>
    </x:row>
    <x:row r="123">
      <x:c r="A123" s="16" t="str">
        <x:v>FINANCE_ACCESS</x:v>
      </x:c>
      <x:c r="B123" s="16" t="str">
        <x:v>Out of Scope</x:v>
      </x:c>
      <x:c r="C123" s="16" t="str">
        <x:v>Explicitly excludes plausible but unrequested features such as advanced analytics, SMS, NLP, or historical migration unless PO asks.</x:v>
      </x:c>
      <x:c r="D123" s="16" t="str">
        <x:v>P1</x:v>
      </x:c>
      <x:c r="E123" s="16" t="str">
        <x:v>not over-scoped</x:v>
      </x:c>
    </x:row>
    <x:row r="124">
      <x:c r="A124" s="16" t="str">
        <x:v>FINANCE_ACCESS</x:v>
      </x:c>
      <x:c r="B124" s="16" t="str">
        <x:v>Definition of Done</x:v>
      </x:c>
      <x:c r="C124" s="16" t="str">
        <x:v>Includes configuration/deployment, test execution, team access, monitoring, and documentation where applicable.</x:v>
      </x:c>
      <x:c r="D124" s="16" t="str">
        <x:v>P1</x:v>
      </x:c>
      <x:c r="E124" s="16" t="str">
        <x:v>DoD is verifiable</x:v>
      </x:c>
    </x:row>
    <x:row r="125">
      <x:c r="A125" s="16" t="str">
        <x:v>FINANCE_ACCESS</x:v>
      </x:c>
      <x:c r="B125" s="16" t="str">
        <x:v>Risks</x:v>
      </x:c>
      <x:c r="C125" s="16" t="str">
        <x:v>Risks have severity and mitigation; includes integration failure, false positives, permissions, and sensitive data where applicable.</x:v>
      </x:c>
      <x:c r="D125" s="16" t="str">
        <x:v>P1</x:v>
      </x:c>
      <x:c r="E125" s="16" t="str">
        <x:v>each risk has mitigation</x:v>
      </x:c>
    </x:row>
    <x:row r="126">
      <x:c r="A126" s="16" t="str">
        <x:v>FINANCE_ACCESS</x:v>
      </x:c>
      <x:c r="B126" s="16" t="str">
        <x:v>Test Scenarios</x:v>
      </x:c>
      <x:c r="C126" s="16" t="str">
        <x:v>Includes valid, missing-data, non-trigger, duplicate/false-positive, notification, and failure scenarios as applicable.</x:v>
      </x:c>
      <x:c r="D126" s="16" t="str">
        <x:v>P0</x:v>
      </x:c>
      <x:c r="E126" s="16" t="str">
        <x:v>scenario-specific negative tests exist</x:v>
      </x:c>
    </x:row>
    <x:row r="127">
      <x:c r="A127" s="16" t="str">
        <x:v>FINANCE_ACCESS</x:v>
      </x:c>
      <x:c r="B127" s="16" t="str">
        <x:v>Readiness</x:v>
      </x:c>
      <x:c r="C127" s="16" t="str">
        <x:v>Readiness status matches remaining open items; partial answers should not produce Ready for grooming = Yes.</x:v>
      </x:c>
      <x:c r="D127" s="16" t="str">
        <x:v>P0</x:v>
      </x:c>
      <x:c r="E127" s="16" t="str">
        <x:v>readiness is consistent with gaps</x:v>
      </x:c>
    </x:row>
    <x:row r="128">
      <x:c r="A128" s="16" t="str">
        <x:v>FINANCE_ACCESS</x:v>
      </x:c>
      <x:c r="B128" s="16" t="str">
        <x:v>Acceptance Criteria</x:v>
      </x:c>
      <x:c r="C128" s="16" t="str">
        <x:v>ServiceNow catalog is the intake channel and email approvals are not accepted after launch.</x:v>
      </x:c>
      <x:c r="D128" s="16" t="str">
        <x:v>P0</x:v>
      </x:c>
      <x:c r="E128" s="16" t="str">
        <x:v>intake control</x:v>
      </x:c>
    </x:row>
    <x:row r="129">
      <x:c r="A129" s="16" t="str">
        <x:v>FINANCE_ACCESS</x:v>
      </x:c>
      <x:c r="B129" s="16" t="str">
        <x:v>Acceptance Criteria</x:v>
      </x:c>
      <x:c r="C129" s="16" t="str">
        <x:v>Approval order includes line manager, finance app owner, and SoD check.</x:v>
      </x:c>
      <x:c r="D129" s="16" t="str">
        <x:v>P0</x:v>
      </x:c>
      <x:c r="E129" s="16" t="str">
        <x:v>approval chain</x:v>
      </x:c>
    </x:row>
    <x:row r="130">
      <x:c r="A130" s="16" t="str">
        <x:v>FINANCE_ACCESS</x:v>
      </x:c>
      <x:c r="B130" s="16" t="str">
        <x:v>Acceptance Criteria</x:v>
      </x:c>
      <x:c r="C130" s="16" t="str">
        <x:v>Emergency access has expiry and retroactive approval.</x:v>
      </x:c>
      <x:c r="D130" s="16" t="str">
        <x:v>P1</x:v>
      </x:c>
      <x:c r="E130" s="16" t="str">
        <x:v>exception flow</x:v>
      </x:c>
    </x:row>
    <x:row r="131">
      <x:c r="A131" s="16" t="str">
        <x:v>FINANCE_ACCESS</x:v>
      </x:c>
      <x:c r="B131" s="16" t="str">
        <x:v>Risks</x:v>
      </x:c>
      <x:c r="C131" s="16" t="str">
        <x:v>Includes excessive permissions and missing audit evidence.</x:v>
      </x:c>
      <x:c r="D131" s="16" t="str">
        <x:v>P0</x:v>
      </x:c>
      <x:c r="E131" s="16" t="str">
        <x:v>access governance risks</x:v>
      </x:c>
    </x:row>
    <x:row r="132">
      <x:c r="A132" s="16" t="str">
        <x:v>LANGUAGE_ROUTING</x:v>
      </x:c>
      <x:c r="B132" s="16" t="str">
        <x:v>Summary</x:v>
      </x:c>
      <x:c r="C132" s="16" t="str">
        <x:v>Summarizes the automation, affected team, trigger, target system, and business benefit in 2-4 sentences.</x:v>
      </x:c>
      <x:c r="D132" s="16" t="str">
        <x:v>P1</x:v>
      </x:c>
      <x:c r="E132" s="16" t="str">
        <x:v>contains trigger + owner + destination + outcome</x:v>
      </x:c>
    </x:row>
    <x:row r="133">
      <x:c r="A133" s="16" t="str">
        <x:v>LANGUAGE_ROUTING</x:v>
      </x:c>
      <x:c r="B133" s="16" t="str">
        <x:v>User Story</x:v>
      </x:c>
      <x:c r="C133" s="16" t="str">
        <x:v>Uses As a / I want / So that format and names the actual persona, not a generic user.</x:v>
      </x:c>
      <x:c r="D133" s="16" t="str">
        <x:v>P0</x:v>
      </x:c>
      <x:c r="E133" s="16" t="str">
        <x:v>regex-like section check; persona matches scenario owner</x:v>
      </x:c>
    </x:row>
    <x:row r="134">
      <x:c r="A134" s="16" t="str">
        <x:v>LANGUAGE_ROUTING</x:v>
      </x:c>
      <x:c r="B134" s="16" t="str">
        <x:v>Background</x:v>
      </x:c>
      <x:c r="C134" s="16" t="str">
        <x:v>Explains current pain and why automation is needed without adding unprovided scope.</x:v>
      </x:c>
      <x:c r="D134" s="16" t="str">
        <x:v>P1</x:v>
      </x:c>
      <x:c r="E134" s="16" t="str">
        <x:v>human/LLM rubric</x:v>
      </x:c>
    </x:row>
    <x:row r="135">
      <x:c r="A135" s="16" t="str">
        <x:v>LANGUAGE_ROUTING</x:v>
      </x:c>
      <x:c r="B135" s="16" t="str">
        <x:v>Acceptance Criteria</x:v>
      </x:c>
      <x:c r="C135" s="16" t="str">
        <x:v>Acceptance criteria use Given/When/Then, are testable, and include positive and negative/edge scenarios.</x:v>
      </x:c>
      <x:c r="D135" s="16" t="str">
        <x:v>P0</x:v>
      </x:c>
      <x:c r="E135" s="16" t="str">
        <x:v>all ACs have observable outcome</x:v>
      </x:c>
    </x:row>
    <x:row r="136">
      <x:c r="A136" s="16" t="str">
        <x:v>LANGUAGE_ROUTING</x:v>
      </x:c>
      <x:c r="B136" s="16" t="str">
        <x:v>Technical Implementation</x:v>
      </x:c>
      <x:c r="C136" s="16" t="str">
        <x:v>Implementation is framed as proposed/configuration detail and does not contradict PO answers.</x:v>
      </x:c>
      <x:c r="D136" s="16" t="str">
        <x:v>P0</x:v>
      </x:c>
      <x:c r="E136" s="16" t="str">
        <x:v>trace each technical claim to input, answer, or assumption</x:v>
      </x:c>
    </x:row>
    <x:row r="137">
      <x:c r="A137" s="16" t="str">
        <x:v>LANGUAGE_ROUTING</x:v>
      </x:c>
      <x:c r="B137" s="16" t="str">
        <x:v>Data Fields</x:v>
      </x:c>
      <x:c r="C137" s="16" t="str">
        <x:v>Lists key fields, purpose, type, and object/work item where relevant.</x:v>
      </x:c>
      <x:c r="D137" s="16" t="str">
        <x:v>P1</x:v>
      </x:c>
      <x:c r="E137" s="16" t="str">
        <x:v>field list exists and aligns to ACs</x:v>
      </x:c>
    </x:row>
    <x:row r="138">
      <x:c r="A138" s="16" t="str">
        <x:v>LANGUAGE_ROUTING</x:v>
      </x:c>
      <x:c r="B138" s="16" t="str">
        <x:v>Dependencies</x:v>
      </x:c>
      <x:c r="C138" s="16" t="str">
        <x:v>Separates external systems, licenses, permissions, and team dependencies from assumptions.</x:v>
      </x:c>
      <x:c r="D138" s="16" t="str">
        <x:v>P1</x:v>
      </x:c>
      <x:c r="E138" s="16" t="str">
        <x:v>dependencies are actionable</x:v>
      </x:c>
    </x:row>
    <x:row r="139">
      <x:c r="A139" s="16" t="str">
        <x:v>LANGUAGE_ROUTING</x:v>
      </x:c>
      <x:c r="B139" s="16" t="str">
        <x:v>Assumptions</x:v>
      </x:c>
      <x:c r="C139" s="16" t="str">
        <x:v>Only includes unconfirmed details as assumptions; does not hide decisions in assumptions.</x:v>
      </x:c>
      <x:c r="D139" s="16" t="str">
        <x:v>P0</x:v>
      </x:c>
      <x:c r="E139" s="16" t="str">
        <x:v>unanswered requirements are not stated as facts</x:v>
      </x:c>
    </x:row>
    <x:row r="140">
      <x:c r="A140" s="16" t="str">
        <x:v>LANGUAGE_ROUTING</x:v>
      </x:c>
      <x:c r="B140" s="16" t="str">
        <x:v>Open Items</x:v>
      </x:c>
      <x:c r="C140" s="16" t="str">
        <x:v>Includes unresolved PO decisions and removes them only when answered later.</x:v>
      </x:c>
      <x:c r="D140" s="16" t="str">
        <x:v>P0</x:v>
      </x:c>
      <x:c r="E140" s="16" t="str">
        <x:v>open item count matches missing slots</x:v>
      </x:c>
    </x:row>
    <x:row r="141">
      <x:c r="A141" s="16" t="str">
        <x:v>LANGUAGE_ROUTING</x:v>
      </x:c>
      <x:c r="B141" s="16" t="str">
        <x:v>Out of Scope</x:v>
      </x:c>
      <x:c r="C141" s="16" t="str">
        <x:v>Explicitly excludes plausible but unrequested features such as advanced analytics, SMS, NLP, or historical migration unless PO asks.</x:v>
      </x:c>
      <x:c r="D141" s="16" t="str">
        <x:v>P1</x:v>
      </x:c>
      <x:c r="E141" s="16" t="str">
        <x:v>not over-scoped</x:v>
      </x:c>
    </x:row>
    <x:row r="142">
      <x:c r="A142" s="16" t="str">
        <x:v>LANGUAGE_ROUTING</x:v>
      </x:c>
      <x:c r="B142" s="16" t="str">
        <x:v>Definition of Done</x:v>
      </x:c>
      <x:c r="C142" s="16" t="str">
        <x:v>Includes configuration/deployment, test execution, team access, monitoring, and documentation where applicable.</x:v>
      </x:c>
      <x:c r="D142" s="16" t="str">
        <x:v>P1</x:v>
      </x:c>
      <x:c r="E142" s="16" t="str">
        <x:v>DoD is verifiable</x:v>
      </x:c>
    </x:row>
    <x:row r="143">
      <x:c r="A143" s="16" t="str">
        <x:v>LANGUAGE_ROUTING</x:v>
      </x:c>
      <x:c r="B143" s="16" t="str">
        <x:v>Risks</x:v>
      </x:c>
      <x:c r="C143" s="16" t="str">
        <x:v>Risks have severity and mitigation; includes integration failure, false positives, permissions, and sensitive data where applicable.</x:v>
      </x:c>
      <x:c r="D143" s="16" t="str">
        <x:v>P1</x:v>
      </x:c>
      <x:c r="E143" s="16" t="str">
        <x:v>each risk has mitigation</x:v>
      </x:c>
    </x:row>
    <x:row r="144">
      <x:c r="A144" s="16" t="str">
        <x:v>LANGUAGE_ROUTING</x:v>
      </x:c>
      <x:c r="B144" s="16" t="str">
        <x:v>Test Scenarios</x:v>
      </x:c>
      <x:c r="C144" s="16" t="str">
        <x:v>Includes valid, missing-data, non-trigger, duplicate/false-positive, notification, and failure scenarios as applicable.</x:v>
      </x:c>
      <x:c r="D144" s="16" t="str">
        <x:v>P0</x:v>
      </x:c>
      <x:c r="E144" s="16" t="str">
        <x:v>scenario-specific negative tests exist</x:v>
      </x:c>
    </x:row>
    <x:row r="145">
      <x:c r="A145" s="16" t="str">
        <x:v>LANGUAGE_ROUTING</x:v>
      </x:c>
      <x:c r="B145" s="16" t="str">
        <x:v>Readiness</x:v>
      </x:c>
      <x:c r="C145" s="16" t="str">
        <x:v>Readiness status matches remaining open items; partial answers should not produce Ready for grooming = Yes.</x:v>
      </x:c>
      <x:c r="D145" s="16" t="str">
        <x:v>P0</x:v>
      </x:c>
      <x:c r="E145" s="16" t="str">
        <x:v>readiness is consistent with gaps</x:v>
      </x:c>
    </x:row>
    <x:row r="146">
      <x:c r="A146" s="16" t="str">
        <x:v>LANGUAGE_ROUTING</x:v>
      </x:c>
      <x:c r="B146" s="16" t="str">
        <x:v>Acceptance Criteria</x:v>
      </x:c>
      <x:c r="C146" s="16" t="str">
        <x:v>Language confidence below threshold routes to Global Triage.</x:v>
      </x:c>
      <x:c r="D146" s="16" t="str">
        <x:v>P0</x:v>
      </x:c>
      <x:c r="E146" s="16" t="str">
        <x:v>fallback rule</x:v>
      </x:c>
    </x:row>
    <x:row r="147">
      <x:c r="A147" s="16" t="str">
        <x:v>LANGUAGE_ROUTING</x:v>
      </x:c>
      <x:c r="B147" s="16" t="str">
        <x:v>Acceptance Criteria</x:v>
      </x:c>
      <x:c r="C147" s="16" t="str">
        <x:v>Spanish and Italian cases route to their correct queues and unknown language does not get forced.</x:v>
      </x:c>
      <x:c r="D147" s="16" t="str">
        <x:v>P0</x:v>
      </x:c>
      <x:c r="E147" s="16" t="str">
        <x:v>queue routing</x:v>
      </x:c>
    </x:row>
    <x:row r="148">
      <x:c r="A148" s="16" t="str">
        <x:v>LANGUAGE_ROUTING</x:v>
      </x:c>
      <x:c r="B148" s="16" t="str">
        <x:v>Out of Scope</x:v>
      </x:c>
      <x:c r="C148" s="16" t="str">
        <x:v>Automatic translation is out of scope for MVP.</x:v>
      </x:c>
      <x:c r="D148" s="16" t="str">
        <x:v>P1</x:v>
      </x:c>
      <x:c r="E148" s="16" t="str">
        <x:v>scope control</x:v>
      </x:c>
    </x:row>
    <x:row r="149">
      <x:c r="A149" s="16" t="str">
        <x:v>LANGUAGE_ROUTING</x:v>
      </x:c>
      <x:c r="B149" s="16" t="str">
        <x:v>Risks</x:v>
      </x:c>
      <x:c r="C149" s="16" t="str">
        <x:v>Includes misclassification and multilingual emails.</x:v>
      </x:c>
      <x:c r="D149" s="16" t="str">
        <x:v>P1</x:v>
      </x:c>
      <x:c r="E149" s="16" t="str">
        <x:v>routing quality risks</x:v>
      </x:c>
    </x:row>
  </x:sheetData>
  <x:pageMargins left="0.7" right="0.7" top="0.75" bottom="0.75" header="0.3" footer="0.3"/>
  <x:tableParts count="1">
    <x:tablePart xmlns:r="http://schemas.openxmlformats.org/officeDocument/2006/relationships" r:id="Re95efffb8b6e4055"/>
  </x:tableParts>
</x:worksheet>
</file>

<file path=xl/worksheets/sheet6.xml><?xml version="1.0" encoding="utf-8"?>
<x:worksheet xmlns:x="http://schemas.openxmlformats.org/spreadsheetml/2006/main">
  <x:sheetFormatPr defaultRowHeight="15"/>
  <x:cols>
    <x:col min="1" max="1" width="24" hidden="0" customWidth="1"/>
    <x:col min="2" max="2" width="28" hidden="0" customWidth="1"/>
    <x:col min="3" max="3" width="54" hidden="0" customWidth="1"/>
    <x:col min="4" max="4" width="28" hidden="0" customWidth="1"/>
    <x:col min="5" max="5" width="42" hidden="0" customWidth="1"/>
    <x:col min="6" max="6" width="58" hidden="0" customWidth="1"/>
    <x:col min="7" max="7" width="58" hidden="0" customWidth="1"/>
    <x:col min="8" max="8" width="52" hidden="0" customWidth="1"/>
  </x:cols>
  <x:sheetData>
    <x:row r="1" ht="28" customHeight="1">
      <x:c r="A1" s="6" t="str">
        <x:v>Scenario ID</x:v>
      </x:c>
      <x:c r="B1" s="6" t="str">
        <x:v>Gap ID</x:v>
      </x:c>
      <x:c r="C1" s="6" t="str">
        <x:v>Gap Question</x:v>
      </x:c>
      <x:c r="D1" s="6" t="str">
        <x:v>PO Answer: None</x:v>
      </x:c>
      <x:c r="E1" s="6" t="str">
        <x:v>PO Answer: Few</x:v>
      </x:c>
      <x:c r="F1" s="6" t="str">
        <x:v>PO Answer: All</x:v>
      </x:c>
      <x:c r="G1" s="6" t="str">
        <x:v>Expected Update If Answered</x:v>
      </x:c>
      <x:c r="H1" s="6" t="str">
        <x:v>Expected If Unanswered</x:v>
      </x:c>
    </x:row>
    <x:row r="2">
      <x:c r="A2" s="16" t="str">
        <x:v>FR_EMAIL_COMPLAINT</x:v>
      </x:c>
      <x:c r="B2" s="16" t="str">
        <x:v>expected_volume</x:v>
      </x:c>
      <x:c r="C2" s="16" t="str">
        <x:v>What is the expected complaint volume per day/week, including peaks?</x:v>
      </x:c>
      <x:c r="D2" s="16" t="str">
        <x:v>No answer provided</x:v>
      </x:c>
      <x:c r="E2" s="16" t="str">
        <x:v>About 10-15 per day</x:v>
      </x:c>
      <x:c r="F2" s="16" t="str">
        <x:v>10-15/day, peaks up to 40/day around billing cycles</x:v>
      </x:c>
      <x:c r="G2" s="16" t="str">
        <x:v>Add volume assumption/requirement; risk notification fatigue; consider monitoring after launch</x:v>
      </x:c>
      <x:c r="H2" s="16" t="str">
        <x:v>Keep volume as open item; do not define digest/throttling requirement</x:v>
      </x:c>
    </x:row>
    <x:row r="3">
      <x:c r="A3" s="16" t="str">
        <x:v>FR_EMAIL_COMPLAINT</x:v>
      </x:c>
      <x:c r="B3" s="16" t="str">
        <x:v>missing_account</x:v>
      </x:c>
      <x:c r="C3" s="16" t="str">
        <x:v>Should emails with missing/invalid account numbers still create Cases?</x:v>
      </x:c>
      <x:c r="D3" s="16" t="str">
        <x:v>No answer provided</x:v>
      </x:c>
      <x:c r="E3" s="16" t="str">
        <x:v>Create the Case anyway and flag for manual review</x:v>
      </x:c>
      <x:c r="F3" s="16" t="str">
        <x:v>Still create Case, leave Account blank, store raw value if present, flag manual review</x:v>
      </x:c>
      <x:c r="G3" s="16" t="str">
        <x:v>Add AC and test scenario for missing/invalid account; remove open item</x:v>
      </x:c>
      <x:c r="H3" s="16" t="str">
        <x:v>Keep as open item; do not make firm AC</x:v>
      </x:c>
    </x:row>
    <x:row r="4">
      <x:c r="A4" s="16" t="str">
        <x:v>FR_EMAIL_COMPLAINT</x:v>
      </x:c>
      <x:c r="B4" s="16" t="str">
        <x:v>complaint_categories</x:v>
      </x:c>
      <x:c r="C4" s="16" t="str">
        <x:v>Which complaint types should be available and do any route differently?</x:v>
      </x:c>
      <x:c r="D4" s="16" t="str">
        <x:v>No answer provided</x:v>
      </x:c>
      <x:c r="E4" s="16" t="str">
        <x:v>No answer provided</x:v>
      </x:c>
      <x:c r="F4" s="16" t="str">
        <x:v>Facturation, Livraison, Qualité produit, Résiliation contrat, Autre; no sub-routing for MVP</x:v>
      </x:c>
      <x:c r="G4" s="16" t="str">
        <x:v>Update complaint_type picklist and layout; note no sub-routing</x:v>
      </x:c>
      <x:c r="H4" s="16" t="str">
        <x:v>Keep category values/routing open</x:v>
      </x:c>
    </x:row>
    <x:row r="5">
      <x:c r="A5" s="16" t="str">
        <x:v>FR_EMAIL_COMPLAINT</x:v>
      </x:c>
      <x:c r="B5" s="16" t="str">
        <x:v>sla</x:v>
      </x:c>
      <x:c r="C5" s="16" t="str">
        <x:v>What first-response SLA should apply?</x:v>
      </x:c>
      <x:c r="D5" s="16" t="str">
        <x:v>No answer provided</x:v>
      </x:c>
      <x:c r="E5" s="16" t="str">
        <x:v>First response within 1 French business day</x:v>
      </x:c>
      <x:c r="F5" s="16" t="str">
        <x:v>First response in 1 French business day; legal-threat complaints escalate immediately</x:v>
      </x:c>
      <x:c r="G5" s="16" t="str">
        <x:v>Add SLA due-date field/AC/test; update risks and DoD</x:v>
      </x:c>
      <x:c r="H5" s="16" t="str">
        <x:v>Keep SLA/escalation open</x:v>
      </x:c>
    </x:row>
    <x:row r="6">
      <x:c r="A6" s="16" t="str">
        <x:v>FR_EMAIL_COMPLAINT</x:v>
      </x:c>
      <x:c r="B6" s="16" t="str">
        <x:v>account_matching</x:v>
      </x:c>
      <x:c r="C6" s="16" t="str">
        <x:v>What account matching methods are allowed?</x:v>
      </x:c>
      <x:c r="D6" s="16" t="str">
        <x:v>No answer provided</x:v>
      </x:c>
      <x:c r="E6" s="16" t="str">
        <x:v>No answer provided</x:v>
      </x:c>
      <x:c r="F6" s="16" t="str">
        <x:v>Account number first, exact Contact email second, domain only if one active Account matches</x:v>
      </x:c>
      <x:c r="G6" s="16" t="str">
        <x:v>Update Flow logic and data fields; add duplicate/ambiguous match tests</x:v>
      </x:c>
      <x:c r="H6" s="16" t="str">
        <x:v>Keep matching method open</x:v>
      </x:c>
    </x:row>
    <x:row r="7">
      <x:c r="A7" s="16" t="str">
        <x:v>FR_EMAIL_COMPLAINT</x:v>
      </x:c>
      <x:c r="B7" s="16" t="str">
        <x:v>false_positives</x:v>
      </x:c>
      <x:c r="C7" s="16" t="str">
        <x:v>Are there keyword emails that should not create Cases?</x:v>
      </x:c>
      <x:c r="D7" s="16" t="str">
        <x:v>No answer provided</x:v>
      </x:c>
      <x:c r="E7" s="16" t="str">
        <x:v>No answer provided</x:v>
      </x:c>
      <x:c r="F7" s="16" t="str">
        <x:v>Ignore internal domains and FYI forwarded messages; case-insensitive/accent-aware subject match</x:v>
      </x:c>
      <x:c r="G7" s="16" t="str">
        <x:v>Add filtering AC and false-positive tests</x:v>
      </x:c>
      <x:c r="H7" s="16" t="str">
        <x:v>Keep false-positive handling open</x:v>
      </x:c>
    </x:row>
    <x:row r="8">
      <x:c r="A8" s="16" t="str">
        <x:v>FR_EMAIL_COMPLAINT</x:v>
      </x:c>
      <x:c r="B8" s="16" t="str">
        <x:v>inbox_retention</x:v>
      </x:c>
      <x:c r="C8" s="16" t="str">
        <x:v>Should original emails remain in shared inbox after Case creation?</x:v>
      </x:c>
      <x:c r="D8" s="16" t="str">
        <x:v>No answer provided</x:v>
      </x:c>
      <x:c r="E8" s="16" t="str">
        <x:v>No answer provided</x:v>
      </x:c>
      <x:c r="F8" s="16" t="str">
        <x:v>Keep emails for 30 days, then archive; do not delete immediately</x:v>
      </x:c>
      <x:c r="G8" s="16" t="str">
        <x:v>Add dependency on mailbox archive policy and DoD test</x:v>
      </x:c>
      <x:c r="H8" s="16" t="str">
        <x:v>Keep retention unresolved</x:v>
      </x:c>
    </x:row>
    <x:row r="9">
      <x:c r="A9" s="16" t="str">
        <x:v>FR_EMAIL_COMPLAINT</x:v>
      </x:c>
      <x:c r="B9" s="16" t="str">
        <x:v>contact_creation</x:v>
      </x:c>
      <x:c r="C9" s="16" t="str">
        <x:v>Should unknown senders create Contacts automatically?</x:v>
      </x:c>
      <x:c r="D9" s="16" t="str">
        <x:v>No answer provided</x:v>
      </x:c>
      <x:c r="E9" s="16" t="str">
        <x:v>No answer provided</x:v>
      </x:c>
      <x:c r="F9" s="16" t="str">
        <x:v>Do not auto-create Contacts; support validates manually</x:v>
      </x:c>
      <x:c r="G9" s="16" t="str">
        <x:v>Add out-of-scope/no-autocreate AC or assumption</x:v>
      </x:c>
      <x:c r="H9" s="16" t="str">
        <x:v>Keep contact creation open</x:v>
      </x:c>
    </x:row>
    <x:row r="10">
      <x:c r="A10" s="16" t="str">
        <x:v>FR_EMAIL_COMPLAINT</x:v>
      </x:c>
      <x:c r="B10" s="16" t="str">
        <x:v>compliance</x:v>
      </x:c>
      <x:c r="C10" s="16" t="str">
        <x:v>Any GDPR, masking, access, or retention rules?</x:v>
      </x:c>
      <x:c r="D10" s="16" t="str">
        <x:v>No answer provided</x:v>
      </x:c>
      <x:c r="E10" s="16" t="str">
        <x:v>No answer provided</x:v>
      </x:c>
      <x:c r="F10" s="16" t="str">
        <x:v>Mask card/national-ID patterns, restrict access, retain Cases 5 years</x:v>
      </x:c>
      <x:c r="G10" s="16" t="str">
        <x:v>Add compliance ACs/risks/DoD; update data fields</x:v>
      </x:c>
      <x:c r="H10" s="16" t="str">
        <x:v>Keep compliance open; readiness not ready</x:v>
      </x:c>
    </x:row>
    <x:row r="11">
      <x:c r="A11" s="16" t="str">
        <x:v>RETURNS_PORTAL</x:v>
      </x:c>
      <x:c r="B11" s="16" t="str">
        <x:v>return_window</x:v>
      </x:c>
      <x:c r="C11" s="16" t="str">
        <x:v>What return window should eligibility use?</x:v>
      </x:c>
      <x:c r="D11" s="16" t="str">
        <x:v>No answer provided</x:v>
      </x:c>
      <x:c r="E11" s="16" t="str">
        <x:v>30 days from delivery</x:v>
      </x:c>
      <x:c r="F11" s="16" t="str">
        <x:v>30 days from delivery</x:v>
      </x:c>
      <x:c r="G11" s="16" t="str">
        <x:v>Update eligibility rule and tests</x:v>
      </x:c>
      <x:c r="H11" s="16" t="str">
        <x:v>Keep eligibility open</x:v>
      </x:c>
    </x:row>
    <x:row r="12">
      <x:c r="A12" s="16" t="str">
        <x:v>RETURNS_PORTAL</x:v>
      </x:c>
      <x:c r="B12" s="16" t="str">
        <x:v>missing_order</x:v>
      </x:c>
      <x:c r="C12" s="16" t="str">
        <x:v>How should missing order ID be handled?</x:v>
      </x:c>
      <x:c r="D12" s="16" t="str">
        <x:v>No answer provided</x:v>
      </x:c>
      <x:c r="E12" s="16" t="str">
        <x:v>Create Needs Order Review ticket</x:v>
      </x:c>
      <x:c r="F12" s="16" t="str">
        <x:v>Create ticket with Needs Order Review, no auto-reject</x:v>
      </x:c>
      <x:c r="G12" s="16" t="str">
        <x:v>Add exception AC and test</x:v>
      </x:c>
      <x:c r="H12" s="16" t="str">
        <x:v>Keep exception handling open</x:v>
      </x:c>
    </x:row>
    <x:row r="13">
      <x:c r="A13" s="16" t="str">
        <x:v>RETURNS_PORTAL</x:v>
      </x:c>
      <x:c r="B13" s="16" t="str">
        <x:v>attachments</x:v>
      </x:c>
      <x:c r="C13" s="16" t="str">
        <x:v>What attachment controls are needed?</x:v>
      </x:c>
      <x:c r="D13" s="16" t="str">
        <x:v>No answer provided</x:v>
      </x:c>
      <x:c r="E13" s="16" t="str">
        <x:v>No answer provided</x:v>
      </x:c>
      <x:c r="F13" s="16" t="str">
        <x:v>Save attachments, 10 MB limit, block executable files</x:v>
      </x:c>
      <x:c r="G13" s="16" t="str">
        <x:v>Update attachment AC/risk/test</x:v>
      </x:c>
      <x:c r="H13" s="16" t="str">
        <x:v>Keep attachment handling open</x:v>
      </x:c>
    </x:row>
    <x:row r="14">
      <x:c r="A14" s="16" t="str">
        <x:v>RETURNS_PORTAL</x:v>
      </x:c>
      <x:c r="B14" s="16" t="str">
        <x:v>dedupe</x:v>
      </x:c>
      <x:c r="C14" s="16" t="str">
        <x:v>How should duplicates be detected?</x:v>
      </x:c>
      <x:c r="D14" s="16" t="str">
        <x:v>No answer provided</x:v>
      </x:c>
      <x:c r="E14" s="16" t="str">
        <x:v>No answer provided</x:v>
      </x:c>
      <x:c r="F14" s="16" t="str">
        <x:v>Order ID + customer email + item SKU within 24 hours</x:v>
      </x:c>
      <x:c r="G14" s="16" t="str">
        <x:v>Add dedupe AC and duplicate test</x:v>
      </x:c>
      <x:c r="H14" s="16" t="str">
        <x:v>Keep duplicate/refund risk open</x:v>
      </x:c>
    </x:row>
    <x:row r="15">
      <x:c r="A15" s="16" t="str">
        <x:v>RETURNS_PORTAL</x:v>
      </x:c>
      <x:c r="B15" s="16" t="str">
        <x:v>privacy</x:v>
      </x:c>
      <x:c r="C15" s="16" t="str">
        <x:v>Can payment details be stored in Jira?</x:v>
      </x:c>
      <x:c r="D15" s="16" t="str">
        <x:v>No answer provided</x:v>
      </x:c>
      <x:c r="E15" s="16" t="str">
        <x:v>No answer provided</x:v>
      </x:c>
      <x:c r="F15" s="16" t="str">
        <x:v>Do not store card data or payment credentials in Jira</x:v>
      </x:c>
      <x:c r="G15" s="16" t="str">
        <x:v>Add privacy risk and field exclusions</x:v>
      </x:c>
      <x:c r="H15" s="16" t="str">
        <x:v>Keep privacy open</x:v>
      </x:c>
    </x:row>
    <x:row r="16">
      <x:c r="A16" s="16" t="str">
        <x:v>IOT_OUTAGE</x:v>
      </x:c>
      <x:c r="B16" s="16" t="str">
        <x:v>maintenance</x:v>
      </x:c>
      <x:c r="C16" s="16" t="str">
        <x:v>Where do maintenance windows come from?</x:v>
      </x:c>
      <x:c r="D16" s="16" t="str">
        <x:v>No answer provided</x:v>
      </x:c>
      <x:c r="E16" s="16" t="str">
        <x:v>Maintenance calendar</x:v>
      </x:c>
      <x:c r="F16" s="16" t="str">
        <x:v>Use the maintenance calendar as suppression source</x:v>
      </x:c>
      <x:c r="G16" s="16" t="str">
        <x:v>Update suppression implementation and tests</x:v>
      </x:c>
      <x:c r="H16" s="16" t="str">
        <x:v>Keep false-positive suppression open</x:v>
      </x:c>
    </x:row>
    <x:row r="17">
      <x:c r="A17" s="16" t="str">
        <x:v>IOT_OUTAGE</x:v>
      </x:c>
      <x:c r="B17" s="16" t="str">
        <x:v>dedupe</x:v>
      </x:c>
      <x:c r="C17" s="16" t="str">
        <x:v>How should repeated alerts be handled?</x:v>
      </x:c>
      <x:c r="D17" s="16" t="str">
        <x:v>No answer provided</x:v>
      </x:c>
      <x:c r="E17" s="16" t="str">
        <x:v>One open incident per gateway; 60-minute duplicate window</x:v>
      </x:c>
      <x:c r="F17" s="16" t="str">
        <x:v>One open incident per gateway; suppress duplicates for 60 minutes</x:v>
      </x:c>
      <x:c r="G17" s="16" t="str">
        <x:v>Add dedupe AC/test and alert-storm risk</x:v>
      </x:c>
      <x:c r="H17" s="16" t="str">
        <x:v>Keep duplicate policy open</x:v>
      </x:c>
    </x:row>
    <x:row r="18">
      <x:c r="A18" s="16" t="str">
        <x:v>IOT_OUTAGE</x:v>
      </x:c>
      <x:c r="B18" s="16" t="str">
        <x:v>recovery</x:v>
      </x:c>
      <x:c r="C18" s="16" t="str">
        <x:v>Should recovery auto-close incidents?</x:v>
      </x:c>
      <x:c r="D18" s="16" t="str">
        <x:v>No answer provided</x:v>
      </x:c>
      <x:c r="E18" s="16" t="str">
        <x:v>Add recovery note and mark Pending Review</x:v>
      </x:c>
      <x:c r="F18" s="16" t="str">
        <x:v>Add recovery note and mark Pending Review; do not auto-close</x:v>
      </x:c>
      <x:c r="G18" s="16" t="str">
        <x:v>Update recovery AC and negative test</x:v>
      </x:c>
      <x:c r="H18" s="16" t="str">
        <x:v>Keep recovery behavior open</x:v>
      </x:c>
    </x:row>
    <x:row r="19">
      <x:c r="A19" s="16" t="str">
        <x:v>GDPR_DSR</x:v>
      </x:c>
      <x:c r="B19" s="16" t="str">
        <x:v>verification</x:v>
      </x:c>
      <x:c r="C19" s="16" t="str">
        <x:v>Can processing start before identity verification?</x:v>
      </x:c>
      <x:c r="D19" s="16" t="str">
        <x:v>No answer provided</x:v>
      </x:c>
      <x:c r="E19" s="16" t="str">
        <x:v>No answer provided</x:v>
      </x:c>
      <x:c r="F19" s="16" t="str">
        <x:v>Create case immediately, status Verification Required, block processing until verified</x:v>
      </x:c>
      <x:c r="G19" s="16" t="str">
        <x:v>Add verification gate AC</x:v>
      </x:c>
      <x:c r="H19" s="16" t="str">
        <x:v>Keep compliance blocker open</x:v>
      </x:c>
    </x:row>
    <x:row r="20">
      <x:c r="A20" s="16" t="str">
        <x:v>GDPR_DSR</x:v>
      </x:c>
      <x:c r="B20" s="16" t="str">
        <x:v>deadline</x:v>
      </x:c>
      <x:c r="C20" s="16" t="str">
        <x:v>What deadline applies?</x:v>
      </x:c>
      <x:c r="D20" s="16" t="str">
        <x:v>No answer provided</x:v>
      </x:c>
      <x:c r="E20" s="16" t="str">
        <x:v>No answer provided</x:v>
      </x:c>
      <x:c r="F20" s="16" t="str">
        <x:v>30 calendar days from receipt; extensions documented</x:v>
      </x:c>
      <x:c r="G20" s="16" t="str">
        <x:v>Add due-date field/AC/reminders</x:v>
      </x:c>
      <x:c r="H20" s="16" t="str">
        <x:v>Keep deadline open; not ready</x:v>
      </x:c>
    </x:row>
    <x:row r="21">
      <x:c r="A21" s="16" t="str">
        <x:v>GDPR_DSR</x:v>
      </x:c>
      <x:c r="B21" s="16" t="str">
        <x:v>legal_hold</x:v>
      </x:c>
      <x:c r="C21" s="16" t="str">
        <x:v>How should legal holds affect deletion?</x:v>
      </x:c>
      <x:c r="D21" s="16" t="str">
        <x:v>No answer provided</x:v>
      </x:c>
      <x:c r="E21" s="16" t="str">
        <x:v>No answer provided</x:v>
      </x:c>
      <x:c r="F21" s="16" t="str">
        <x:v>Legal approval required for active contract or legal hold</x:v>
      </x:c>
      <x:c r="G21" s="16" t="str">
        <x:v>Add Legal approval dependency and risk</x:v>
      </x:c>
      <x:c r="H21" s="16" t="str">
        <x:v>Keep legal hold open</x:v>
      </x:c>
    </x:row>
  </x:sheetData>
  <x:pageMargins left="0.7" right="0.7" top="0.75" bottom="0.75" header="0.3" footer="0.3"/>
  <x:tableParts count="1">
    <x:tablePart xmlns:r="http://schemas.openxmlformats.org/officeDocument/2006/relationships" r:id="Ra937c6f3123d4f27"/>
  </x:tableParts>
</x:worksheet>
</file>

<file path=xl/worksheets/sheet7.xml><?xml version="1.0" encoding="utf-8"?>
<x:worksheet xmlns:x="http://schemas.openxmlformats.org/spreadsheetml/2006/main">
  <x:sheetFormatPr defaultRowHeight="15"/>
  <x:cols>
    <x:col min="1" max="1" width="24" hidden="0" customWidth="1"/>
    <x:col min="2" max="2" width="34" hidden="0" customWidth="1"/>
    <x:col min="3" max="3" width="12" hidden="0" customWidth="1"/>
    <x:col min="4" max="4" width="70" hidden="0" customWidth="1"/>
    <x:col min="5" max="5" width="58" hidden="0" customWidth="1"/>
  </x:cols>
  <x:sheetData>
    <x:row r="1" ht="28" customHeight="1">
      <x:c r="A1" s="6" t="str">
        <x:v>Evaluation Area</x:v>
      </x:c>
      <x:c r="B1" s="6" t="str">
        <x:v>Dimension</x:v>
      </x:c>
      <x:c r="C1" s="6" t="str">
        <x:v>Weight %</x:v>
      </x:c>
      <x:c r="D1" s="6" t="str">
        <x:v>Full-Credit Behavior</x:v>
      </x:c>
      <x:c r="E1" s="6" t="str">
        <x:v>Warning Signs</x:v>
      </x:c>
    </x:row>
    <x:row r="2">
      <x:c r="A2" s="16" t="str">
        <x:v>Question Generation</x:v>
      </x:c>
      <x:c r="B2" s="16" t="str">
        <x:v>Coverage of required slots</x:v>
      </x:c>
      <x:c r="C2" s="16" t="n">
        <x:v>35</x:v>
      </x:c>
      <x:c r="D2" s="16" t="str">
        <x:v>Asks about trigger, owner, data, routing, notifications, exceptions, SLA, compliance, and system boundaries.</x:v>
      </x:c>
      <x:c r="E2" s="16" t="str">
        <x:v>Misses exception handling or unresolved business rules.</x:v>
      </x:c>
    </x:row>
    <x:row r="3">
      <x:c r="A3" s="16" t="str">
        <x:v>Question Generation</x:v>
      </x:c>
      <x:c r="B3" s="16" t="str">
        <x:v>Specificity and context use</x:v>
      </x:c>
      <x:c r="C3" s="16" t="n">
        <x:v>20</x:v>
      </x:c>
      <x:c r="D3" s="16" t="str">
        <x:v>Questions reuse known domain details and ask for decisions the PO can answer.</x:v>
      </x:c>
      <x:c r="E3" s="16" t="str">
        <x:v>Generic questions that could apply to any story.</x:v>
      </x:c>
    </x:row>
    <x:row r="4">
      <x:c r="A4" s="16" t="str">
        <x:v>Question Generation</x:v>
      </x:c>
      <x:c r="B4" s="16" t="str">
        <x:v>Non-redundancy</x:v>
      </x:c>
      <x:c r="C4" s="16" t="n">
        <x:v>15</x:v>
      </x:c>
      <x:c r="D4" s="16" t="str">
        <x:v>Does not ask for information already provided and sequences follow-ups logically.</x:v>
      </x:c>
      <x:c r="E4" s="16" t="str">
        <x:v>Repeats ownership/queue/classification after PO answered.</x:v>
      </x:c>
    </x:row>
    <x:row r="5">
      <x:c r="A5" s="16" t="str">
        <x:v>Question Generation</x:v>
      </x:c>
      <x:c r="B5" s="16" t="str">
        <x:v>No invention or leading assumptions</x:v>
      </x:c>
      <x:c r="C5" s="16" t="n">
        <x:v>15</x:v>
      </x:c>
      <x:c r="D5" s="16" t="str">
        <x:v>Frames possibilities without forcing a technical choice or inventing requirements.</x:v>
      </x:c>
      <x:c r="E5" s="16" t="str">
        <x:v>Asks leading questions like “Should we use NLP?” when keyword rules suffice.</x:v>
      </x:c>
    </x:row>
    <x:row r="6">
      <x:c r="A6" s="16" t="str">
        <x:v>Question Generation</x:v>
      </x:c>
      <x:c r="B6" s="16" t="str">
        <x:v>PO-friendly language</x:v>
      </x:c>
      <x:c r="C6" s="16" t="n">
        <x:v>10</x:v>
      </x:c>
      <x:c r="D6" s="16" t="str">
        <x:v>Clear, concise, business-oriented wording.</x:v>
      </x:c>
      <x:c r="E6" s="16" t="str">
        <x:v>Technical jargon before business decisions are known.</x:v>
      </x:c>
    </x:row>
    <x:row r="7">
      <x:c r="A7" s="16" t="str">
        <x:v>Question Generation</x:v>
      </x:c>
      <x:c r="B7" s="16" t="str">
        <x:v>Gap prioritization</x:v>
      </x:c>
      <x:c r="C7" s="16" t="n">
        <x:v>5</x:v>
      </x:c>
      <x:c r="D7" s="16" t="str">
        <x:v>Asks high-risk/high-impact gaps first.</x:v>
      </x:c>
      <x:c r="E7" s="16" t="str">
        <x:v>Focuses on low-value details before blockers.</x:v>
      </x:c>
    </x:row>
    <x:row r="8">
      <x:c r="A8" s="16" t="str">
        <x:v>Report Generation</x:v>
      </x:c>
      <x:c r="B8" s="16" t="str">
        <x:v>Traceability to inputs</x:v>
      </x:c>
      <x:c r="C8" s="16" t="n">
        <x:v>25</x:v>
      </x:c>
      <x:c r="D8" s="16" t="str">
        <x:v>Every requirement is traceable to problem statement, PO answer, or labeled assumption/open item.</x:v>
      </x:c>
      <x:c r="E8" s="16" t="str">
        <x:v>Turns unanswered gaps into facts.</x:v>
      </x:c>
    </x:row>
    <x:row r="9">
      <x:c r="A9" s="16" t="str">
        <x:v>Report Generation</x:v>
      </x:c>
      <x:c r="B9" s="16" t="str">
        <x:v>Acceptance criteria quality</x:v>
      </x:c>
      <x:c r="C9" s="16" t="n">
        <x:v>20</x:v>
      </x:c>
      <x:c r="D9" s="16" t="str">
        <x:v>ACs are Given/When/Then, testable, cover edge cases and negative cases.</x:v>
      </x:c>
      <x:c r="E9" s="16" t="str">
        <x:v>Vague ACs without observable outcomes.</x:v>
      </x:c>
    </x:row>
    <x:row r="10">
      <x:c r="A10" s="16" t="str">
        <x:v>Report Generation</x:v>
      </x:c>
      <x:c r="B10" s="16" t="str">
        <x:v>Completeness of sections</x:v>
      </x:c>
      <x:c r="C10" s="16" t="n">
        <x:v>15</x:v>
      </x:c>
      <x:c r="D10" s="16" t="str">
        <x:v>Includes summary, story, background, AC, technical approach, fields, dependencies, assumptions, open items, DoD, risks, tests, readiness.</x:v>
      </x:c>
      <x:c r="E10" s="16" t="str">
        <x:v>Missing readiness, risks, or open items.</x:v>
      </x:c>
    </x:row>
    <x:row r="11">
      <x:c r="A11" s="16" t="str">
        <x:v>Report Generation</x:v>
      </x:c>
      <x:c r="B11" s="16" t="str">
        <x:v>Technical feasibility</x:v>
      </x:c>
      <x:c r="C11" s="16" t="n">
        <x:v>15</x:v>
      </x:c>
      <x:c r="D11" s="16" t="str">
        <x:v>Implementation details fit named systems and respect constraints.</x:v>
      </x:c>
      <x:c r="E11" s="16" t="str">
        <x:v>Adds unsupported tools or contradicts PO answers.</x:v>
      </x:c>
    </x:row>
    <x:row r="12">
      <x:c r="A12" s="16" t="str">
        <x:v>Report Generation</x:v>
      </x:c>
      <x:c r="B12" s="16" t="str">
        <x:v>Gap and readiness handling</x:v>
      </x:c>
      <x:c r="C12" s="16" t="n">
        <x:v>15</x:v>
      </x:c>
      <x:c r="D12" s="16" t="str">
        <x:v>Open items reflect unresolved decisions; readiness matches gap severity.</x:v>
      </x:c>
      <x:c r="E12" s="16" t="str">
        <x:v>Says ready while critical decisions remain.</x:v>
      </x:c>
    </x:row>
    <x:row r="13">
      <x:c r="A13" s="16" t="str">
        <x:v>Report Generation</x:v>
      </x:c>
      <x:c r="B13" s="16" t="str">
        <x:v>Scope control</x:v>
      </x:c>
      <x:c r="C13" s="16" t="n">
        <x:v>10</x:v>
      </x:c>
      <x:c r="D13" s="16" t="str">
        <x:v>Out-of-scope is explicit and avoids overengineering.</x:v>
      </x:c>
      <x:c r="E13" s="16" t="str">
        <x:v>Adds dashboards, SMS, AI/NLP, or new channels without request.</x:v>
      </x:c>
    </x:row>
    <x:row r="14">
      <x:c r="A14" s="16" t="str">
        <x:v>Regeneration</x:v>
      </x:c>
      <x:c r="B14" s="16" t="str">
        <x:v>Selective updates</x:v>
      </x:c>
      <x:c r="C14" s="16" t="n">
        <x:v>30</x:v>
      </x:c>
      <x:c r="D14" s="16" t="str">
        <x:v>Updates only sections affected by new PO answers and preserves approved content.</x:v>
      </x:c>
      <x:c r="E14" s="16" t="str">
        <x:v>Rewrites unrelated requirements or loses original details.</x:v>
      </x:c>
    </x:row>
    <x:row r="15">
      <x:c r="A15" s="16" t="str">
        <x:v>Regeneration</x:v>
      </x:c>
      <x:c r="B15" s="16" t="str">
        <x:v>Unanswered gaps remain visible</x:v>
      </x:c>
      <x:c r="C15" s="16" t="n">
        <x:v>30</x:v>
      </x:c>
      <x:c r="D15" s="16" t="str">
        <x:v>None/few answers keep unresolved open items and readiness status.</x:v>
      </x:c>
      <x:c r="E15" s="16" t="str">
        <x:v>Deletes gaps after PO gives no answer.</x:v>
      </x:c>
    </x:row>
    <x:row r="16">
      <x:c r="A16" s="16" t="str">
        <x:v>Regeneration</x:v>
      </x:c>
      <x:c r="B16" s="16" t="str">
        <x:v>Answer integration quality</x:v>
      </x:c>
      <x:c r="C16" s="16" t="n">
        <x:v>25</x:v>
      </x:c>
      <x:c r="D16" s="16" t="str">
        <x:v>Answered gaps become ACs, fields, tests, dependencies, and risks where appropriate.</x:v>
      </x:c>
      <x:c r="E16" s="16" t="str">
        <x:v>Adds answers only to Open Items and not to testable requirements.</x:v>
      </x:c>
    </x:row>
    <x:row r="17">
      <x:c r="A17" s="16" t="str">
        <x:v>Regeneration</x:v>
      </x:c>
      <x:c r="B17" s="16" t="str">
        <x:v>Conflict handling</x:v>
      </x:c>
      <x:c r="C17" s="16" t="n">
        <x:v>15</x:v>
      </x:c>
      <x:c r="D17" s="16" t="str">
        <x:v>Conflicting answers are surfaced or reconciled clearly.</x:v>
      </x:c>
      <x:c r="E17" s="16" t="str">
        <x:v>Silently ignores newer or older conflicting PO input.</x:v>
      </x:c>
    </x:row>
  </x:sheetData>
  <x:pageMargins left="0.7" right="0.7" top="0.75" bottom="0.75" header="0.3" footer="0.3"/>
  <x:tableParts count="1">
    <x:tablePart xmlns:r="http://schemas.openxmlformats.org/officeDocument/2006/relationships" r:id="Rb630e701ccf94afe"/>
  </x:tableParts>
</x:worksheet>
</file>

<file path=xl/worksheets/sheet8.xml><?xml version="1.0" encoding="utf-8"?>
<x:worksheet xmlns:x="http://schemas.openxmlformats.org/spreadsheetml/2006/main">
  <x:sheetFormatPr defaultRowHeight="15"/>
  <x:cols>
    <x:col min="1" max="1" width="24" hidden="0" customWidth="1"/>
    <x:col min="2" max="2" width="34" hidden="0" customWidth="1"/>
    <x:col min="3" max="3" width="70" hidden="0" customWidth="1"/>
    <x:col min="4" max="4" width="70" hidden="0" customWidth="1"/>
  </x:cols>
  <x:sheetData>
    <x:row r="1" ht="28" customHeight="1">
      <x:c r="A1" s="6" t="str">
        <x:v>Negative Test ID</x:v>
      </x:c>
      <x:c r="B1" s="6" t="str">
        <x:v>Failure Mode</x:v>
      </x:c>
      <x:c r="C1" s="6" t="str">
        <x:v>Input Pattern</x:v>
      </x:c>
      <x:c r="D1" s="6" t="str">
        <x:v>Expected Behavior</x:v>
      </x:c>
    </x:row>
    <x:row r="2">
      <x:c r="A2" s="16" t="str">
        <x:v>NEG-FR-INVENTED-AC</x:v>
      </x:c>
      <x:c r="B2" s="16" t="str">
        <x:v>Unanswered gap becomes requirement</x:v>
      </x:c>
      <x:c r="C2" s="16" t="str">
        <x:v>Missing-account behavior is not answered, but report states a firm outcome.</x:v>
      </x:c>
      <x:c r="D2" s="16" t="str">
        <x:v>Flag as fail unless the outcome is explicitly labeled as an assumption and remains open.</x:v>
      </x:c>
    </x:row>
    <x:row r="3">
      <x:c r="A3" s="16" t="str">
        <x:v>NEG-FR-CONFLICT</x:v>
      </x:c>
      <x:c r="B3" s="16" t="str">
        <x:v>Contradictory PO answers</x:v>
      </x:c>
      <x:c r="C3" s="16" t="str">
        <x:v>PO changes assignment from queue to specific owner/day logic.</x:v>
      </x:c>
      <x:c r="D3" s="16" t="str">
        <x:v>Ask clarification or explicitly document final routing precedence.</x:v>
      </x:c>
    </x:row>
    <x:row r="4">
      <x:c r="A4" s="16" t="str">
        <x:v>NEG-ANSWER-NONE</x:v>
      </x:c>
      <x:c r="B4" s="16" t="str">
        <x:v>PO answers no gap questions</x:v>
      </x:c>
      <x:c r="C4" s="16" t="str">
        <x:v>PO says none decided yet.</x:v>
      </x:c>
      <x:c r="D4" s="16" t="str">
        <x:v>Open items and Not Ready status remain unchanged.</x:v>
      </x:c>
    </x:row>
    <x:row r="5">
      <x:c r="A5" s="16" t="str">
        <x:v>NEG-PII-SAFETY</x:v>
      </x:c>
      <x:c r="B5" s="16" t="str">
        <x:v>Sensitive data in examples</x:v>
      </x:c>
      <x:c r="C5" s="16" t="str">
        <x:v>Input email has card or national ID details.</x:v>
      </x:c>
      <x:c r="D5" s="16" t="str">
        <x:v>Do not reproduce sensitive values; add masking/access controls.</x:v>
      </x:c>
    </x:row>
    <x:row r="6">
      <x:c r="A6" s="16" t="str">
        <x:v>NEG-DUPLICATE-QUESTIONS</x:v>
      </x:c>
      <x:c r="B6" s="16" t="str">
        <x:v>Question repetition</x:v>
      </x:c>
      <x:c r="C6" s="16" t="str">
        <x:v>Conversation already answered several slots.</x:v>
      </x:c>
      <x:c r="D6" s="16" t="str">
        <x:v>Ask only unanswered gaps; fail if redundant questions dominate.</x:v>
      </x:c>
    </x:row>
    <x:row r="7">
      <x:c r="A7" s="16" t="str">
        <x:v>NEG-OVERENGINEER-MVP</x:v>
      </x:c>
      <x:c r="B7" s="16" t="str">
        <x:v>Scope creep</x:v>
      </x:c>
      <x:c r="C7" s="16" t="str">
        <x:v>PO says MVP excludes SMS/dashboards/AI/payment-processing changes.</x:v>
      </x:c>
      <x:c r="D7" s="16" t="str">
        <x:v>Keep these out of ACs and put them in Out of Scope if mentioned.</x:v>
      </x:c>
    </x:row>
  </x:sheetData>
  <x:pageMargins left="0.7" right="0.7" top="0.75" bottom="0.75" header="0.3" footer="0.3"/>
  <x:tableParts count="1">
    <x:tablePart xmlns:r="http://schemas.openxmlformats.org/officeDocument/2006/relationships" r:id="R0e59622440554031"/>
  </x:tableParts>
</x:worksheet>
</file>

<file path=xl/worksheets/sheet9.xml><?xml version="1.0" encoding="utf-8"?>
<x:worksheet xmlns:x="http://schemas.openxmlformats.org/spreadsheetml/2006/main">
  <x:sheetFormatPr defaultRowHeight="15"/>
  <x:cols>
    <x:col min="1" max="1" width="34" hidden="0" customWidth="1"/>
    <x:col min="2" max="2" width="18" hidden="0" customWidth="1"/>
    <x:col min="3" max="3" width="46" hidden="0" customWidth="1"/>
    <x:col min="5" max="5" width="30" hidden="0" customWidth="1"/>
    <x:col min="6" max="6" width="12" hidden="0" customWidth="1"/>
  </x:cols>
  <x:sheetData>
    <x:row r="1">
      <x:c r="A1" s="5" t="str">
        <x:v>Metric</x:v>
      </x:c>
      <x:c r="B1" s="5" t="str">
        <x:v>Value</x:v>
      </x:c>
      <x:c r="C1" s="5" t="str">
        <x:v>Formula/Notes</x:v>
      </x:c>
      <x:c r="E1" s="18" t="str">
        <x:v>Test Type</x:v>
      </x:c>
      <x:c r="F1" s="18" t="str">
        <x:v>Count</x:v>
      </x:c>
    </x:row>
    <x:row r="2">
      <x:c r="A2" s="12" t="str">
        <x:v>Total test cases</x:v>
      </x:c>
      <x:c r="B2" s="12" t="n">
        <x:f>COUNTA(Test_Cases!$A$2:$A$32)</x:f>
        <x:v>31</x:v>
      </x:c>
      <x:c r="C2" s="12" t="str">
        <x:v>All rows in Test_Cases</x:v>
      </x:c>
      <x:c r="E2" s="20" t="str">
        <x:v>question_generation</x:v>
      </x:c>
      <x:c r="F2" s="20" t="n">
        <x:f>COUNTIF(Test_Cases!$B$2:$B$32,E2)</x:f>
        <x:v>9</x:v>
      </x:c>
    </x:row>
    <x:row r="3">
      <x:c r="A3" s="12" t="str">
        <x:v>Question-generation tests</x:v>
      </x:c>
      <x:c r="B3" s="12" t="n">
        <x:f>COUNTIF(Test_Cases!$B$2:$B$32,"question_generation")</x:f>
        <x:v>9</x:v>
      </x:c>
      <x:c r="C3" s="12" t="str">
        <x:v>COUNTIF on Test Type</x:v>
      </x:c>
      <x:c r="E3" s="20" t="str">
        <x:v>report_generation</x:v>
      </x:c>
      <x:c r="F3" s="20" t="n">
        <x:f>COUNTIF(Test_Cases!$B$2:$B$32,E3)</x:f>
        <x:v>10</x:v>
      </x:c>
    </x:row>
    <x:row r="4">
      <x:c r="A4" s="12" t="str">
        <x:v>Report-generation tests</x:v>
      </x:c>
      <x:c r="B4" s="12" t="n">
        <x:f>COUNTIF(Test_Cases!$B$2:$B$32,"report_generation")</x:f>
        <x:v>10</x:v>
      </x:c>
      <x:c r="C4" s="12" t="str">
        <x:v>COUNTIF on Test Type</x:v>
      </x:c>
      <x:c r="E4" s="20" t="str">
        <x:v>post_report_regeneration</x:v>
      </x:c>
      <x:c r="F4" s="20" t="n">
        <x:f>COUNTIF(Test_Cases!$B$2:$B$32,E4)</x:f>
        <x:v>6</x:v>
      </x:c>
    </x:row>
    <x:row r="5">
      <x:c r="A5" s="12" t="str">
        <x:v>Regeneration tests</x:v>
      </x:c>
      <x:c r="B5" s="12" t="n">
        <x:f>COUNTIF(Test_Cases!$B$2:$B$32,"post_report_regeneration")</x:f>
        <x:v>6</x:v>
      </x:c>
      <x:c r="C5" s="12" t="str">
        <x:v>COUNTIF on Test Type</x:v>
      </x:c>
      <x:c r="E5" s="20" t="str">
        <x:v>negative_behavior</x:v>
      </x:c>
      <x:c r="F5" s="20" t="n">
        <x:f>COUNTIF(Test_Cases!$B$2:$B$32,E5)</x:f>
        <x:v>6</x:v>
      </x:c>
    </x:row>
    <x:row r="6">
      <x:c r="A6" s="12" t="str">
        <x:v>Negative tests</x:v>
      </x:c>
      <x:c r="B6" s="12" t="n">
        <x:f>COUNTIF(Test_Cases!$B$2:$B$32,"negative_behavior")</x:f>
        <x:v>6</x:v>
      </x:c>
      <x:c r="C6" s="12" t="str">
        <x:v>COUNTIF on Test Type</x:v>
      </x:c>
    </x:row>
    <x:row r="7">
      <x:c r="A7" s="12" t="str">
        <x:v>P0 critical tests</x:v>
      </x:c>
      <x:c r="B7" s="12" t="n">
        <x:f>COUNTIF(Test_Cases!$I$2:$I$32,"P0")</x:f>
        <x:v>20</x:v>
      </x:c>
      <x:c r="C7" s="12" t="str">
        <x:v>COUNTIF on Priority</x:v>
      </x:c>
    </x:row>
    <x:row r="8">
      <x:c r="A8" s="12" t="str">
        <x:v>Scenario count</x:v>
      </x:c>
      <x:c r="B8" s="12" t="n">
        <x:f>COUNTA(Scenarios!$A$2:$A$9)</x:f>
        <x:v>8</x:v>
      </x:c>
      <x:c r="C8" s="12" t="str">
        <x:v>Rows in Scenarios</x:v>
      </x:c>
    </x:row>
    <x:row r="9">
      <x:c r="A9" s="12" t="str">
        <x:v>Question slot count</x:v>
      </x:c>
      <x:c r="B9" s="12" t="n">
        <x:f>COUNTA(Question_Slots!$A$2:$A$52)</x:f>
        <x:v>51</x:v>
      </x:c>
      <x:c r="C9" s="12" t="str">
        <x:v>Rows in Question_Slots</x:v>
      </x:c>
    </x:row>
    <x:row r="10">
      <x:c r="A10" s="12" t="str">
        <x:v>Report assertion count</x:v>
      </x:c>
      <x:c r="B10" s="12" t="n">
        <x:f>COUNTA(Report_Assertions!$A$2:$A$149)</x:f>
        <x:v>148</x:v>
      </x:c>
      <x:c r="C10" s="12" t="str">
        <x:v>Rows in Report_Assertions</x:v>
      </x:c>
    </x:row>
    <x:row r="11">
      <x:c r="A11" s="12" t="str">
        <x:v>Gap cycle count</x:v>
      </x:c>
      <x:c r="B11" s="12" t="n">
        <x:f>COUNTA(Gap_Cycles!$A$2:$A$21)</x:f>
        <x:v>20</x:v>
      </x:c>
      <x:c r="C11" s="12" t="str">
        <x:v>Rows in Gap_Cycles</x:v>
      </x:c>
    </x:row>
  </x:sheetData>
  <x:pageMargins left="0.7" right="0.7" top="0.75" bottom="0.75" header="0.3" footer="0.3"/>
  <x:drawing xmlns:r="http://schemas.openxmlformats.org/officeDocument/2006/relationships" r:id="Rfc6943d2fb044b6f"/>
</x:worksheet>
</file>